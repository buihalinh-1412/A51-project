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_Dan" sheetId="1" state="visible" r:id="rId3"/>
    <sheet name="Task_Tracker" sheetId="2" state="visible" r:id="rId4"/>
    <sheet name="Lich_7_Ngay" sheetId="3" state="visible" r:id="rId5"/>
    <sheet name="Danh_Muc_File" sheetId="4" state="visible" r:id="rId6"/>
    <sheet name="Bao_Cao_Hang_Ngay" sheetId="5" state="visible" r:id="rId7"/>
    <sheet name="Tong_Quan" sheetId="6" state="visible" r:id="rId8"/>
  </sheets>
  <definedNames>
    <definedName function="false" hidden="true" localSheetId="1" name="_xlnm._FilterDatabase" vbProcedure="false">Task_Tracker!$A$1:$M$38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<sst xmlns="http://schemas.openxmlformats.org/spreadsheetml/2006/main" count="585" uniqueCount="309">
  <si>
    <t xml:space="preserve">HƯỚNG DẪN SỬ DỤNG FILE THEO DÕI GIAI ĐOẠN 1</t>
  </si>
  <si>
    <t xml:space="preserve">Sheet</t>
  </si>
  <si>
    <t xml:space="preserve">Dùng để làm gì</t>
  </si>
  <si>
    <t xml:space="preserve">Ai cập nhật</t>
  </si>
  <si>
    <t xml:space="preserve">Task_Tracker</t>
  </si>
  <si>
    <t xml:space="preserve">Danh sách mọi đầu việc, hạn nộp, file output, trạng thái</t>
  </si>
  <si>
    <t xml:space="preserve">Linh cập nhật cột Trạng thái và Link mỗi tối lúc 21:00</t>
  </si>
  <si>
    <t xml:space="preserve">Lich_7_Ngay</t>
  </si>
  <si>
    <t xml:space="preserve">Ma trận ai làm gì mỗi ngày D1 đến D7</t>
  </si>
  <si>
    <t xml:space="preserve">Linh (chỉ sửa khi đổi kế hoạch)</t>
  </si>
  <si>
    <t xml:space="preserve">Danh_Muc_File</t>
  </si>
  <si>
    <t xml:space="preserve">Danh sách file phải có trong docs/, owner, người review, hạn, trạng thái</t>
  </si>
  <si>
    <t xml:space="preserve">Owner của file tự cập nhật trạng thái; Nhật Linh kiểm kê</t>
  </si>
  <si>
    <t xml:space="preserve">Bao_Cao_Hang_Ngay</t>
  </si>
  <si>
    <t xml:space="preserve">Báo cáo 21:00 của từng người (DONE, NOT DONE, BLOCKER, OUTPUT)</t>
  </si>
  <si>
    <t xml:space="preserve">Mỗi người tự điền một dòng mỗi ngày</t>
  </si>
  <si>
    <t xml:space="preserve">Tong_Quan</t>
  </si>
  <si>
    <t xml:space="preserve">Thống kê tự động số task theo người và trạng thái</t>
  </si>
  <si>
    <t xml:space="preserve">Không sửa tay, tự tính bằng công thức</t>
  </si>
  <si>
    <t xml:space="preserve">Trạng thái (cột Trạng thái)</t>
  </si>
  <si>
    <t xml:space="preserve">Ý nghĩa</t>
  </si>
  <si>
    <t xml:space="preserve">Chưa làm</t>
  </si>
  <si>
    <t xml:space="preserve">Chưa bắt đầu</t>
  </si>
  <si>
    <t xml:space="preserve">Đang làm</t>
  </si>
  <si>
    <t xml:space="preserve">Đã bắt đầu, chưa nộp</t>
  </si>
  <si>
    <t xml:space="preserve">Hoàn thành</t>
  </si>
  <si>
    <t xml:space="preserve">Đã push lên GitHub và đạt điều kiện tự kiểm tra</t>
  </si>
  <si>
    <t xml:space="preserve">Bị chặn/Trễ</t>
  </si>
  <si>
    <t xml:space="preserve">Bị kẹt hoặc quá hạn nộp</t>
  </si>
  <si>
    <t xml:space="preserve">Quy ước màu</t>
  </si>
  <si>
    <t xml:space="preserve">Ô nền vàng nhạt là ô người dùng được nhập. Ô khác không sửa tay.</t>
  </si>
  <si>
    <t xml:space="preserve">Quy ước ngày</t>
  </si>
  <si>
    <t xml:space="preserve">D1 = 01/10/2026 (Thứ Năm) đến D7 = 07/10/2026 (Thứ Tư)</t>
  </si>
  <si>
    <t xml:space="preserve">Nguyên tắc</t>
  </si>
  <si>
    <t xml:space="preserve">Không ai phụ thuộc ai (D1-D5): cột Phụ thuộc chỉ ghi Không. Chỉ bước kiểm tra D6 của Linh và tích hợp D6 của Nhật Linh cần file của người khác.</t>
  </si>
  <si>
    <t xml:space="preserve">ID</t>
  </si>
  <si>
    <t xml:space="preserve">Thành viên</t>
  </si>
  <si>
    <t xml:space="preserve">Ngày làm</t>
  </si>
  <si>
    <t xml:space="preserve">Ngày bắt đầu</t>
  </si>
  <si>
    <t xml:space="preserve">Ngày hạn nộp</t>
  </si>
  <si>
    <t xml:space="preserve">Giờ hạn</t>
  </si>
  <si>
    <t xml:space="preserve">Tên task</t>
  </si>
  <si>
    <t xml:space="preserve">Các bước chính (tóm tắt)</t>
  </si>
  <si>
    <t xml:space="preserve">Output bắt buộc</t>
  </si>
  <si>
    <t xml:space="preserve">Phụ thuộc</t>
  </si>
  <si>
    <t xml:space="preserve">Trạng thái</t>
  </si>
  <si>
    <t xml:space="preserve">Link commit / PR</t>
  </si>
  <si>
    <t xml:space="preserve">Ghi chú</t>
  </si>
  <si>
    <t xml:space="preserve">LH-01</t>
  </si>
  <si>
    <t xml:space="preserve">Bùi Hà Linh</t>
  </si>
  <si>
    <t xml:space="preserve">D1</t>
  </si>
  <si>
    <t xml:space="preserve">18:00</t>
  </si>
  <si>
    <t xml:space="preserve">Tạo repository GitHub</t>
  </si>
  <si>
    <t xml:space="preserve">Tạo repo A51-project, thêm 4 collaborator (quyền Write), tạo 5 thư mục + .gitkeep, .gitignore, requirements.txt, README (đủ 5 thành viên), push main, tạo nhánh docs/phase1, nhắn nhóm cách tạo nhánh cá nhân</t>
  </si>
  <si>
    <t xml:space="preserve">README.md; requirements.txt; .gitignore; src/ tests/ docs/ examples/ demo/; nhánh docs/phase1</t>
  </si>
  <si>
    <t xml:space="preserve">Không</t>
  </si>
  <si>
    <t xml:space="preserve">LH-02</t>
  </si>
  <si>
    <t xml:space="preserve">20:00</t>
  </si>
  <si>
    <t xml:space="preserve">Tạo task tracker</t>
  </si>
  <si>
    <t xml:space="preserve">Mở task_tracker.xlsx, đối chiếu từng dòng với tài liệu phân công, sửa nếu sai, copy vào docs/, commit, nhắn nhóm xem dòng của mình trước 20:00</t>
  </si>
  <si>
    <t xml:space="preserve">docs/task_tracker.xlsx</t>
  </si>
  <si>
    <t xml:space="preserve">LH-07</t>
  </si>
  <si>
    <t xml:space="preserve">D1 đến D5</t>
  </si>
  <si>
    <t xml:space="preserve">21:00</t>
  </si>
  <si>
    <t xml:space="preserve">Theo dõi tiến độ hằng ngày</t>
  </si>
  <si>
    <t xml:space="preserve">21:00 đọc báo cáo 4 người; kiểm tra file OUTPUT đã push chưa; cập nhật cột Trạng thái; gom BLOCKER/CONFLICT để xử lý ở D6; gửi tin tổng kết ngắn</t>
  </si>
  <si>
    <t xml:space="preserve">Tracker cập nhật mỗi tối; danh sách BLOCKER/CONFLICT</t>
  </si>
  <si>
    <t xml:space="preserve">LH-03</t>
  </si>
  <si>
    <t xml:space="preserve">D2</t>
  </si>
  <si>
    <t xml:space="preserve">Đọc slide TinyA5/1, lập bảng Slide says</t>
  </si>
  <si>
    <t xml:space="preserve">Đọc slide dạng trang hình; lập bảng X/Y/Z (độ dài, clocking, feedback, hướng dịch, output) kèm số trang; ghi ký hiệu bit, key, S, C; chụp trang quan trọng; kiểm tra chia key 6+8+9 và XOR</t>
  </si>
  <si>
    <t xml:space="preserve">docs/audit/slide_blind_table.md; ảnh trong docs/assets/tiny/</t>
  </si>
  <si>
    <t xml:space="preserve">LH-04</t>
  </si>
  <si>
    <t xml:space="preserve">D3</t>
  </si>
  <si>
    <t xml:space="preserve">Tính tay Step 0 và Step 1, tạo checklist audit</t>
  </si>
  <si>
    <t xml:space="preserve">Chép dữ liệu ví dụ; làm Step 0 và Step 1 theo 7 việc nhỏ đến từng bit; điền bảng 12 cột; so với slide; tạo phase1_audit_checklist.md từ Phần 7.1</t>
  </si>
  <si>
    <t xml:space="preserve">docs/tiny_a51_hand_calculation.md (Step 0, 1); docs/audit/phase1_audit_checklist.md</t>
  </si>
  <si>
    <t xml:space="preserve">LH-05</t>
  </si>
  <si>
    <t xml:space="preserve">D4</t>
  </si>
  <si>
    <t xml:space="preserve">Tính tay Step 2, keystream, mã hóa, giải mã, điểm lệch Z</t>
  </si>
  <si>
    <t xml:space="preserve">Làm Step 2; ghép S, so S=100; tính C=P XOR S, so C=011; giải mã; so từng ô với slide; ghi khối DISCREPANCY cho Z sau bước 2; viết kết luận</t>
  </si>
  <si>
    <t xml:space="preserve">docs/tiny_a51_hand_calculation.md hoàn chỉnh (3 Step, 12 cột, DISCREPANCY, kết luận)</t>
  </si>
  <si>
    <t xml:space="preserve">LH-06</t>
  </si>
  <si>
    <t xml:space="preserve">D5</t>
  </si>
  <si>
    <t xml:space="preserve">Điền technical_decisions.md</t>
  </si>
  <si>
    <t xml:space="preserve">Tạo bảng TD-001..005; TD-002 từ DISCREPANCY, TD-003 từ bảng Slide says; TD-001, 004, 005 tự tìm tối thiểu 2 nguồn ngoài; chỉ đề xuất, chưa chốt; thêm Danh sách còn mở</t>
  </si>
  <si>
    <t xml:space="preserve">docs/technical_decisions.md</t>
  </si>
  <si>
    <t xml:space="preserve">LH-08</t>
  </si>
  <si>
    <t xml:space="preserve">D6</t>
  </si>
  <si>
    <t xml:space="preserve">12:00 / 18:00 / 21:00</t>
  </si>
  <si>
    <t xml:space="preserve">Kiểm tra tổng thể, chốt quyết định, khóa quy ước, merge</t>
  </si>
  <si>
    <t xml:space="preserve">Kiểm tra từng file theo Phần 6; gửi danh sách sửa trước 12:00; chốt TD trước 18:00; chuyển convention mục 6, 7 sang LOCKED; gửi quyết định cho Nhật Linh; sau 21:00 merge nhánh vào docs/phase1</t>
  </si>
  <si>
    <t xml:space="preserve">Danh sách sửa từng người; technical_decisions.md bản cuối; coding_convention.md LOCKED; docs/phase1 đã merge</t>
  </si>
  <si>
    <t xml:space="preserve">Sản phẩm D5 của cả nhóm (bước kiểm tra, không chặn việc D1-D5 của ai)</t>
  </si>
  <si>
    <t xml:space="preserve">LH-09</t>
  </si>
  <si>
    <t xml:space="preserve">D7</t>
  </si>
  <si>
    <t xml:space="preserve">FINAL AUDIT</t>
  </si>
  <si>
    <t xml:space="preserve">5 kiểm tra: TinyA5/1, A5/1, dấu hiệu chưa xong, chéo ví dụ tính tay, pseudocode; điền audit report; merge main; tag v0.1-spec</t>
  </si>
  <si>
    <t xml:space="preserve">docs/audit/phase1_audit_report.md; main đã merge; tag v0.1-spec</t>
  </si>
  <si>
    <t xml:space="preserve">V-01</t>
  </si>
  <si>
    <t xml:space="preserve">Lại Hoàng Thế Vũ</t>
  </si>
  <si>
    <t xml:space="preserve">Tìm nguồn A5/1 và tạo khung spec</t>
  </si>
  <si>
    <t xml:space="preserve">Đọc phần A5/1 trong slide; tìm tối thiểu 3 nguồn (ít nhất 1 nguồn mô tả đủ nạp key, frame, warm-up); lập bảng nguồn S1..S3; tạo khung 13 mục theo Phụ lục A.1</t>
  </si>
  <si>
    <t xml:space="preserve">docs/a51_specification.md (khung + bảng nguồn)</t>
  </si>
  <si>
    <t xml:space="preserve">V-02</t>
  </si>
  <si>
    <t xml:space="preserve">Đặc tả R1, R2, R3</t>
  </si>
  <si>
    <t xml:space="preserve">Xem trang gốc slide; trích từng nguồn vào bảng nháp; so sánh gán nhãn VERIFIED/SINGLE-SOURCE/CONFLICT; lập bảng 8 thông số x 3 register; kiểm tra 19+22+23=64; viết mục Majority</t>
  </si>
  <si>
    <t xml:space="preserve">a51_specification.md mục 2, 3</t>
  </si>
  <si>
    <t xml:space="preserve">V-03</t>
  </si>
  <si>
    <t xml:space="preserve">Key loading và Frame loading</t>
  </si>
  <si>
    <t xml:space="preserve">Trả lời 12 câu hỏi có nguồn; ghi CONFLICT nếu hai nguồn khác nhau; viết mục 4, 5 theo từng bước; ví dụ nạp 3 bit đầu của key vào R1</t>
  </si>
  <si>
    <t xml:space="preserve">a51_specification.md mục 4, 5</t>
  </si>
  <si>
    <t xml:space="preserve">V-04</t>
  </si>
  <si>
    <t xml:space="preserve">Warm-up, keystream, bit ordering, file dài, so sánh Tiny và A5/1</t>
  </si>
  <si>
    <t xml:space="preserve">Trả lời 7 câu hỏi; viết mục 6-10; pseudocode 10-20 dòng; mục 12 so sánh Tiny và A5/1 (tự đọc slide Tiny); ghi TD-001, 004, 005</t>
  </si>
  <si>
    <t xml:space="preserve">a51_specification.md mục 6-10 và 12; pseudocode</t>
  </si>
  <si>
    <t xml:space="preserve">V-05</t>
  </si>
  <si>
    <t xml:space="preserve">Test vector và chốt spec</t>
  </si>
  <si>
    <t xml:space="preserve">Tìm test vector; bảng Source A, B, Final; ghi điều kiện và thứ tự bit; không tự viết giá trị mong đợi; rà toàn spec; mục 13 liệt kê CONFLICT còn mở</t>
  </si>
  <si>
    <t xml:space="preserve">docs/a51_test_vector.md; a51_specification.md hoàn chỉnh</t>
  </si>
  <si>
    <t xml:space="preserve">V-06</t>
  </si>
  <si>
    <t xml:space="preserve">17:00</t>
  </si>
  <si>
    <t xml:space="preserve">Sửa theo danh sách của người kiểm tra</t>
  </si>
  <si>
    <t xml:space="preserve">Nhận danh sách sửa lúc 12:00; sửa xong trước 17:00; push</t>
  </si>
  <si>
    <t xml:space="preserve">Bản cuối 2 file</t>
  </si>
  <si>
    <t xml:space="preserve">Danh sách sửa của Hà Linh (12:00)</t>
  </si>
  <si>
    <t xml:space="preserve">V-07</t>
  </si>
  <si>
    <t xml:space="preserve">Sửa lỗi khi audit (trong 2 giờ)</t>
  </si>
  <si>
    <t xml:space="preserve">Nếu bị trả lại: nhận danh sách lỗi, sửa và push trong vòng 2 giờ</t>
  </si>
  <si>
    <t xml:space="preserve">File được trả lại, bản sửa</t>
  </si>
  <si>
    <t xml:space="preserve">LC-01</t>
  </si>
  <si>
    <t xml:space="preserve">Trần Đại Lộc</t>
  </si>
  <si>
    <t xml:space="preserve">Đọc đúng các trang TinyA5/1, ghi chú thô</t>
  </si>
  <si>
    <t xml:space="preserve">Đọc theo thứ tự: giới thiệu, register, thuật toán, quay register, ví dụ, tổng quát hóa; xem trang hình gốc; tạo spec mục 0 có số trang; ghi nguyên văn ký hiệu bit của slide</t>
  </si>
  <si>
    <t xml:space="preserve">docs/tiny_a51_specification.md (mục 0 Ghi chú đọc thô)</t>
  </si>
  <si>
    <t xml:space="preserve">LC-02</t>
  </si>
  <si>
    <t xml:space="preserve">Cấu trúc register và key distribution</t>
  </si>
  <si>
    <t xml:space="preserve">Bảng 7 thông số x X/Y/Z có trang slide; mục 1 (Input); mục 3 chia key 6+8+9=23 và kiểm tra nối lại đúng K; bảng ánh xạ ký hiệu (nháp)</t>
  </si>
  <si>
    <t xml:space="preserve">tiny_a51_specification.md mục 1-3</t>
  </si>
  <si>
    <t xml:space="preserve">LC-03</t>
  </si>
  <si>
    <t xml:space="preserve">Majority function và Rotation</t>
  </si>
  <si>
    <t xml:space="preserve">Mục 4: định nghĩa majority, ví dụ bit cụ thể từ slide; mục 5: hướng dịch, bit mới vào đâu, ví dụ Before/Feedback/Shift/After; đối chiếu slide, lệch thì ghi CONFLICT</t>
  </si>
  <si>
    <t xml:space="preserve">tiny_a51_specification.md mục 4, 5</t>
  </si>
  <si>
    <t xml:space="preserve">LC-04</t>
  </si>
  <si>
    <t xml:space="preserve">Feedback và Keystream generation</t>
  </si>
  <si>
    <t xml:space="preserve">Công thức feedback X, Y, Z (có trang); mỗi register một ví dụ bit; giải thích từng công thức; mục 6 thứ tự thao tác trong một bước, nêu rõ output lấy trước hay sau khi dịch</t>
  </si>
  <si>
    <t xml:space="preserve">tiny_a51_specification.md mục 6</t>
  </si>
  <si>
    <t xml:space="preserve">LC-05</t>
  </si>
  <si>
    <t xml:space="preserve">Encryption, Decryption, nguồn, chốt spec</t>
  </si>
  <si>
    <t xml:space="preserve">Mục 7 (111 XOR 100 = 011), mục 8 (011 XOR 100 = 111), mục 9 Source, mục 10 Open issues (liên kết TD-002, TD-003); tự viết pseudocode chỉ từ spec để kiểm tra</t>
  </si>
  <si>
    <t xml:space="preserve">docs/tiny_a51_specification.md hoàn chỉnh mục 0-10</t>
  </si>
  <si>
    <t xml:space="preserve">LC-06</t>
  </si>
  <si>
    <t xml:space="preserve">Bản cuối tiny_a51_specification.md</t>
  </si>
  <si>
    <t xml:space="preserve">LC-07</t>
  </si>
  <si>
    <t xml:space="preserve">N-01</t>
  </si>
  <si>
    <t xml:space="preserve">Hoàng Yến Nhi</t>
  </si>
  <si>
    <t xml:space="preserve">Ghi chú GSM, lịch sử A5/1, khởi tạo references</t>
  </si>
  <si>
    <t xml:space="preserve">Tìm nguồn về A5/1 trong GSM, lịch sử, stream cipher trong GSM; mỗi nguồn 3-5 ý; tạo references.md theo mẫu (Author, Year, Link, Used for)</t>
  </si>
  <si>
    <t xml:space="preserve">docs/references.md (tối thiểu 5 nguồn, mỗi nguồn có Used for)</t>
  </si>
  <si>
    <t xml:space="preserve">N-02</t>
  </si>
  <si>
    <t xml:space="preserve">Stream cipher</t>
  </si>
  <si>
    <t xml:space="preserve">Tìm nguồn về stream cipher, keystream, XOR; đối chiếu mô hình XOR với slide (ghi trang); so sánh Stream và Block cipher; ghi nháp vào background.md mục 2</t>
  </si>
  <si>
    <t xml:space="preserve">background.md mục 2 (nháp); references.md cập nhật</t>
  </si>
  <si>
    <t xml:space="preserve">N-03</t>
  </si>
  <si>
    <t xml:space="preserve">LFSR, majority clocking, khung background</t>
  </si>
  <si>
    <t xml:space="preserve">Tìm nguồn về LFSR, majority clocking, cấu trúc A5/1; tạo khung 6 mục (GSM, Stream cipher, LFSR, Majority clocking, A5/1, TinyA5/1), mỗi mục 2-3 ý và nguồn; mục 6 trả lời vì sao có TinyA5/1</t>
  </si>
  <si>
    <t xml:space="preserve">docs/background.md (khung 6 mục)</t>
  </si>
  <si>
    <t xml:space="preserve">N-04</t>
  </si>
  <si>
    <t xml:space="preserve">Hoàn thiện background.md</t>
  </si>
  <si>
    <t xml:space="preserve">Viết đủ 6 mục, mỗi mục 1-2 đoạn; mọi câu thực tế có nguồn [n] trỏ references.md; đọc lại không còn claim không nguồn</t>
  </si>
  <si>
    <t xml:space="preserve">docs/background.md đủ 6 mục</t>
  </si>
  <si>
    <t xml:space="preserve">N-05</t>
  </si>
  <si>
    <t xml:space="preserve">18:00 (references) / 20:00 (outline)</t>
  </si>
  <si>
    <t xml:space="preserve">References hoàn chỉnh, ma trận nguồn, report outline</t>
  </si>
  <si>
    <t xml:space="preserve">Hoàn thiện references (Author, Year, Link, Used for) và ma trận nguồn (tự tra, không mượn file người khác); tạo report_outline 8 chương và bảng Yêu cầu đề bài và chương đáp ứng</t>
  </si>
  <si>
    <t xml:space="preserve">docs/references.md + ma trận nguồn; docs/report_outline.md</t>
  </si>
  <si>
    <t xml:space="preserve">N-06</t>
  </si>
  <si>
    <t xml:space="preserve">Nhận danh sách sửa lúc 12:00; sửa xong trước 17:00; kiểm tra mọi [n] trong background.md có trong references.md và ngược lại</t>
  </si>
  <si>
    <t xml:space="preserve">Bản cuối 3 file</t>
  </si>
  <si>
    <t xml:space="preserve">N-07</t>
  </si>
  <si>
    <t xml:space="preserve">Sửa lỗi khi audit (trong 2 giờ); có thể làm bài kiểm tra pseudocode</t>
  </si>
  <si>
    <t xml:space="preserve">Nếu bị trả lại: sửa và push trong 2 giờ. Có thể được giao viết pseudocode TinyA5/1 chỉ từ docs/ (LH-09, Kiểm tra 5)</t>
  </si>
  <si>
    <t xml:space="preserve">File được trả lại, bản sửa; pseudocode (nếu được giao)</t>
  </si>
  <si>
    <t xml:space="preserve">NL-01</t>
  </si>
  <si>
    <t xml:space="preserve">Nguyễn Thị Nhật Linh</t>
  </si>
  <si>
    <t xml:space="preserve">Style guide và khung terminology</t>
  </si>
  <si>
    <t xml:space="preserve">Soạn style_guide 8 điểm có ví dụ đúng và sai; tạo khung terminology 10 thuật ngữ</t>
  </si>
  <si>
    <t xml:space="preserve">docs/style_guide.md; docs/terminology.md (khung)</t>
  </si>
  <si>
    <t xml:space="preserve">NL-02</t>
  </si>
  <si>
    <t xml:space="preserve">Terminology đầy đủ, convention mục 1-4, 9</t>
  </si>
  <si>
    <t xml:space="preserve">Điền bảng 10 thuật ngữ x 5 cột; chốt quy tắc dùng từ (register, LFSR); soạn coding_convention mục 1, 2, 3, 4, 9</t>
  </si>
  <si>
    <t xml:space="preserve">docs/terminology.md; docs/coding_convention.md (mục 1-4, 9)</t>
  </si>
  <si>
    <t xml:space="preserve">NL-03</t>
  </si>
  <si>
    <t xml:space="preserve">Convention mục 5-8 và bảng chân lý majority</t>
  </si>
  <si>
    <t xml:space="preserve">Tự đọc slide Tiny; viết mục 5-8 (mục 6, 7 ghi PROVISIONAL, Hà Linh khóa ở D6); tạo majority_truth_table 8 dòng và một ví dụ số thật từ slide</t>
  </si>
  <si>
    <t xml:space="preserve">docs/coding_convention.md đủ 9 mục; docs/majority_truth_table.md</t>
  </si>
  <si>
    <t xml:space="preserve">NL-04</t>
  </si>
  <si>
    <t xml:space="preserve">Ví dụ dịch register</t>
  </si>
  <si>
    <t xml:space="preserve">Mỗi register X, Y, Z một ví dụ từ slide theo mẫu Before/Feedback/Shift/New bit/After/Slide/Khớp?; hướng dịch khớp convention mục 7; lệch thì ghi CONFLICT</t>
  </si>
  <si>
    <t xml:space="preserve">docs/register_shift_example.md (tối thiểu 3 ví dụ)</t>
  </si>
  <si>
    <t xml:space="preserve">NL-05</t>
  </si>
  <si>
    <t xml:space="preserve">Decision Log khung và checklist nhất quán</t>
  </si>
  <si>
    <t xml:space="preserve">Tạo decision_log.md 5 mục TD-001..005 (điền ID, Issue, Person responsible); checklist nhất quán 7 điểm và bảng vấn đề trống đặt đầu consistency_report.md; cập nhật terminology nếu có thuật ngữ mới</t>
  </si>
  <si>
    <t xml:space="preserve">docs/decision_log.md; consistency_report.md (phần checklist); terminology.md cập nhật</t>
  </si>
  <si>
    <t xml:space="preserve">NL-06</t>
  </si>
  <si>
    <t xml:space="preserve">12:00 / 17:00 / 21:00</t>
  </si>
  <si>
    <t xml:space="preserve">Sửa, tích hợp, rà soát nhất quán</t>
  </si>
  <si>
    <t xml:space="preserve">Sửa file mình theo danh sách (xong 17:00); từ 17:00 lấy bản mới nhất của mọi file; chạy checklist, điền bảng vấn đề (gắn NEED VERIFICATION, chỉ sửa định dạng); điền Decision Log theo quyết định cuối lúc 18:00; đối chiếu danh sách file; Pull Request vào docs/phase1</t>
  </si>
  <si>
    <t xml:space="preserve">consistency_report.md bản cuối; Decision Log đủ 5 mục; bộ docs chuẩn hóa định dạng</t>
  </si>
  <si>
    <t xml:space="preserve">Danh sách sửa (12:00); bản sửa của mọi người (17:00); quyết định của Hà Linh (18:00)</t>
  </si>
  <si>
    <t xml:space="preserve">NL-07</t>
  </si>
  <si>
    <t xml:space="preserve">Nếu bị trả lại: sửa định dạng hoặc Decision Log trong vòng 2 giờ</t>
  </si>
  <si>
    <t xml:space="preserve">Ngày</t>
  </si>
  <si>
    <t xml:space="preserve">Ngày tháng</t>
  </si>
  <si>
    <t xml:space="preserve">Linh (trưởng nhóm)</t>
  </si>
  <si>
    <t xml:space="preserve">Vũ (A5/1)</t>
  </si>
  <si>
    <t xml:space="preserve">Lộc (TinyA5/1)</t>
  </si>
  <si>
    <t xml:space="preserve">Nhi (nghiên cứu)</t>
  </si>
  <si>
    <t xml:space="preserve">Nhật Linh (chuẩn hóa)</t>
  </si>
  <si>
    <t xml:space="preserve">01/10/2026 (Thứ Năm)</t>
  </si>
  <si>
    <t xml:space="preserve">Repo, README (18:00); task tracker (20:00)</t>
  </si>
  <si>
    <t xml:space="preserve">Nguồn A5/1, khung spec (18:00)</t>
  </si>
  <si>
    <t xml:space="preserve">Đọc trang gốc Tiny, ghi chú thô (18:00)</t>
  </si>
  <si>
    <t xml:space="preserve">Ghi chú GSM và A5/1, khởi tạo references (18:00)</t>
  </si>
  <si>
    <t xml:space="preserve">style_guide, khung terminology (18:00)</t>
  </si>
  <si>
    <t xml:space="preserve">02/10/2026 (Thứ Sáu)</t>
  </si>
  <si>
    <t xml:space="preserve">slide_blind_table.md, dữ liệu ví dụ tính tay (18:00)</t>
  </si>
  <si>
    <t xml:space="preserve">Bảng R1/R2/R3 (18:00)</t>
  </si>
  <si>
    <t xml:space="preserve">Spec mục 1-3: register, key distribution (18:00)</t>
  </si>
  <si>
    <t xml:space="preserve">Ghi chú stream cipher (18:00)</t>
  </si>
  <si>
    <t xml:space="preserve">terminology đầy đủ; convention mục 1-4, 9 (18:00)</t>
  </si>
  <si>
    <t xml:space="preserve">03/10/2026 (Thứ Bảy)</t>
  </si>
  <si>
    <t xml:space="preserve">Tính tay Step 0 và Step 1, checklist audit (18:00)</t>
  </si>
  <si>
    <t xml:space="preserve">Key loading, Frame loading (18:00)</t>
  </si>
  <si>
    <t xml:space="preserve">Spec mục 4-5: majority, rotation (18:00)</t>
  </si>
  <si>
    <t xml:space="preserve">LFSR, majority clocking, khung background (18:00)</t>
  </si>
  <si>
    <t xml:space="preserve">Convention mục 5-8; majority_truth_table (18:00)</t>
  </si>
  <si>
    <t xml:space="preserve">04/10/2026 (Chủ Nhật)</t>
  </si>
  <si>
    <t xml:space="preserve">Tính tay Step 2, S, C, DISCREPANCY (18:00)</t>
  </si>
  <si>
    <t xml:space="preserve">Warm-up, keystream, bit ordering, file dài (18:00)</t>
  </si>
  <si>
    <t xml:space="preserve">Spec mục 6: feedback, keystream (18:00)</t>
  </si>
  <si>
    <t xml:space="preserve">background.md hoàn chỉnh (18:00)</t>
  </si>
  <si>
    <t xml:space="preserve">register_shift_example (18:00)</t>
  </si>
  <si>
    <t xml:space="preserve">05/10/2026 (Thứ Hai)</t>
  </si>
  <si>
    <t xml:space="preserve">technical_decisions.md (20:00)</t>
  </si>
  <si>
    <t xml:space="preserve">a51_test_vector, chốt spec (20:00)</t>
  </si>
  <si>
    <t xml:space="preserve">Spec mục 7-9, chốt spec (20:00)</t>
  </si>
  <si>
    <t xml:space="preserve">references + ma trận nguồn (18:00); report_outline (20:00)</t>
  </si>
  <si>
    <t xml:space="preserve">decision_log khung, checklist nhất quán (20:00)</t>
  </si>
  <si>
    <t xml:space="preserve">06/10/2026 (Thứ Ba)</t>
  </si>
  <si>
    <t xml:space="preserve">Kiểm tra tổng thể, danh sách sửa (12:00); chốt quyết định (18:00); khóa quy ước, merge (21:00)</t>
  </si>
  <si>
    <t xml:space="preserve">Sửa theo danh sách (17:00)</t>
  </si>
  <si>
    <t xml:space="preserve">Sửa (17:00); tích hợp, consistency_report, Decision Log (21:00)</t>
  </si>
  <si>
    <t xml:space="preserve">07/10/2026 (Thứ Tư)</t>
  </si>
  <si>
    <t xml:space="preserve">FINAL AUDIT, merge main, tag v0.1-spec (20:00)</t>
  </si>
  <si>
    <t xml:space="preserve">Sửa trong 2 giờ nếu bị trả lại</t>
  </si>
  <si>
    <t xml:space="preserve">Sửa trong 2 giờ nếu bị trả lại; có thể làm bài kiểm tra pseudocode</t>
  </si>
  <si>
    <t xml:space="preserve">File</t>
  </si>
  <si>
    <t xml:space="preserve">Owner</t>
  </si>
  <si>
    <t xml:space="preserve">Người review</t>
  </si>
  <si>
    <t xml:space="preserve">Hạn bản đầy đủ</t>
  </si>
  <si>
    <t xml:space="preserve">README.md</t>
  </si>
  <si>
    <t xml:space="preserve">D1 18:00</t>
  </si>
  <si>
    <t xml:space="preserve">requirements.txt</t>
  </si>
  <si>
    <t xml:space="preserve">.gitignore</t>
  </si>
  <si>
    <t xml:space="preserve">D1 20:00</t>
  </si>
  <si>
    <t xml:space="preserve">docs/style_guide.md</t>
  </si>
  <si>
    <t xml:space="preserve">docs/coding_convention.md</t>
  </si>
  <si>
    <t xml:space="preserve">D3 18:00 (đủ 9 mục, PROVISIONAL); D6 18:00 (Hà Linh khóa LOCKED)</t>
  </si>
  <si>
    <t xml:space="preserve">docs/terminology.md</t>
  </si>
  <si>
    <t xml:space="preserve">D2 18:00; cập nhật D5 20:00</t>
  </si>
  <si>
    <t xml:space="preserve">D5 20:00; D6 18:00 (bản cuối)</t>
  </si>
  <si>
    <t xml:space="preserve">docs/decision_log.md</t>
  </si>
  <si>
    <t xml:space="preserve">D5 20:00 (khung); D6 21:00 (đủ 5 mục)</t>
  </si>
  <si>
    <t xml:space="preserve">docs/tiny_a51_specification.md</t>
  </si>
  <si>
    <t xml:space="preserve">D5 20:00</t>
  </si>
  <si>
    <t xml:space="preserve">docs/majority_truth_table.md</t>
  </si>
  <si>
    <t xml:space="preserve">D3 18:00</t>
  </si>
  <si>
    <t xml:space="preserve">docs/register_shift_example.md</t>
  </si>
  <si>
    <t xml:space="preserve">D4 18:00</t>
  </si>
  <si>
    <t xml:space="preserve">docs/tiny_a51_hand_calculation.md</t>
  </si>
  <si>
    <t xml:space="preserve">docs/a51_specification.md</t>
  </si>
  <si>
    <t xml:space="preserve">docs/a51_test_vector.md</t>
  </si>
  <si>
    <t xml:space="preserve">docs/background.md</t>
  </si>
  <si>
    <t xml:space="preserve">docs/references.md</t>
  </si>
  <si>
    <t xml:space="preserve">D5 18:00</t>
  </si>
  <si>
    <t xml:space="preserve">docs/report_outline.md</t>
  </si>
  <si>
    <t xml:space="preserve">docs/consistency_report.md</t>
  </si>
  <si>
    <t xml:space="preserve">D5 20:00 (checklist); D6 21:00 (bản cuối)</t>
  </si>
  <si>
    <t xml:space="preserve">docs/audit/slide_blind_table.md</t>
  </si>
  <si>
    <t xml:space="preserve">D2 18:00</t>
  </si>
  <si>
    <t xml:space="preserve">docs/audit/phase1_audit_checklist.md</t>
  </si>
  <si>
    <t xml:space="preserve">docs/audit/phase1_audit_report.md</t>
  </si>
  <si>
    <t xml:space="preserve">Cả nhóm</t>
  </si>
  <si>
    <t xml:space="preserve">D7 20:00</t>
  </si>
  <si>
    <t xml:space="preserve">Tag git v0.1-spec</t>
  </si>
  <si>
    <t xml:space="preserve">DONE</t>
  </si>
  <si>
    <t xml:space="preserve">NOT DONE</t>
  </si>
  <si>
    <t xml:space="preserve">BLOCKER</t>
  </si>
  <si>
    <t xml:space="preserve">OUTPUT (link commit / file)</t>
  </si>
  <si>
    <t xml:space="preserve">Trạng thái chung</t>
  </si>
  <si>
    <t xml:space="preserve">01/10/2026 (ví dụ, xóa khi dùng thật)</t>
  </si>
  <si>
    <t xml:space="preserve">Đọc xong phần TinyA5/1, tạo ghi chú thô trong tiny_a51_specification.md</t>
  </si>
  <si>
    <t xml:space="preserve">Chưa chụp hết trang slide</t>
  </si>
  <si>
    <t xml:space="preserve">Cần xác nhận slide ký hiệu x0 hay x1</t>
  </si>
  <si>
    <t xml:space="preserve">docs/tiny_a51_specification.md (commit abc123)</t>
  </si>
  <si>
    <t xml:space="preserve">Tổng task</t>
  </si>
  <si>
    <t xml:space="preserve">Tỷ lệ hoàn thành</t>
  </si>
  <si>
    <t xml:space="preserve">Tổng cộng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</si>
</sst>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26" min="4" style="0" width="8.7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15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18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19</v>
      </c>
      <c r="B10" s="3" t="s">
        <v>20</v>
      </c>
      <c r="C10" s="3"/>
    </row>
    <row r="11" customFormat="false" ht="15" hidden="false" customHeight="false" outlineLevel="0" collapsed="false">
      <c r="A11" s="2" t="s">
        <v>21</v>
      </c>
      <c r="B11" s="2" t="s">
        <v>22</v>
      </c>
      <c r="C11" s="2"/>
    </row>
    <row r="12" customFormat="false" ht="15" hidden="false" customHeight="false" outlineLevel="0" collapsed="false">
      <c r="A12" s="2" t="s">
        <v>23</v>
      </c>
      <c r="B12" s="2" t="s">
        <v>24</v>
      </c>
      <c r="C12" s="2"/>
    </row>
    <row r="13" customFormat="false" ht="15" hidden="false" customHeight="false" outlineLevel="0" collapsed="false">
      <c r="A13" s="2" t="s">
        <v>25</v>
      </c>
      <c r="B13" s="2" t="s">
        <v>26</v>
      </c>
      <c r="C13" s="2"/>
    </row>
    <row r="14" customFormat="false" ht="15" hidden="false" customHeight="false" outlineLevel="0" collapsed="false">
      <c r="A14" s="2" t="s">
        <v>27</v>
      </c>
      <c r="B14" s="2" t="s">
        <v>28</v>
      </c>
      <c r="C14" s="2"/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2" t="s">
        <v>29</v>
      </c>
      <c r="B16" s="2" t="s">
        <v>30</v>
      </c>
      <c r="C16" s="2"/>
    </row>
    <row r="17" customFormat="false" ht="15" hidden="false" customHeight="false" outlineLevel="0" collapsed="false">
      <c r="A17" s="2" t="s">
        <v>31</v>
      </c>
      <c r="B17" s="2" t="s">
        <v>32</v>
      </c>
      <c r="C17" s="2"/>
    </row>
    <row r="18" customFormat="false" ht="23.85" hidden="false" customHeight="false" outlineLevel="0" collapsed="false">
      <c r="A18" s="2" t="s">
        <v>33</v>
      </c>
      <c r="B18" s="2" t="s">
        <v>34</v>
      </c>
      <c r="C18" s="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60"/>
    <col collapsed="false" customWidth="true" hidden="false" outlineLevel="0" max="9" min="9" style="0" width="4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3" min="12" style="0" width="24"/>
    <col collapsed="false" customWidth="true" hidden="false" outlineLevel="0" max="26" min="14" style="0" width="8.71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</row>
    <row r="2" customFormat="false" ht="35.05" hidden="false" customHeight="false" outlineLevel="0" collapsed="false">
      <c r="A2" s="5" t="s">
        <v>48</v>
      </c>
      <c r="B2" s="5" t="s">
        <v>49</v>
      </c>
      <c r="C2" s="5" t="s">
        <v>50</v>
      </c>
      <c r="D2" s="6" t="n">
        <v>46296</v>
      </c>
      <c r="E2" s="6" t="n">
        <v>46296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7" t="s">
        <v>23</v>
      </c>
      <c r="L2" s="7"/>
      <c r="M2" s="7"/>
    </row>
    <row r="3" customFormat="false" ht="23.85" hidden="false" customHeight="false" outlineLevel="0" collapsed="false">
      <c r="A3" s="5" t="s">
        <v>56</v>
      </c>
      <c r="B3" s="5" t="s">
        <v>49</v>
      </c>
      <c r="C3" s="5" t="s">
        <v>50</v>
      </c>
      <c r="D3" s="6" t="n">
        <v>46296</v>
      </c>
      <c r="E3" s="6" t="n">
        <v>46296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55</v>
      </c>
      <c r="K3" s="7" t="s">
        <v>21</v>
      </c>
      <c r="L3" s="7"/>
      <c r="M3" s="7"/>
    </row>
    <row r="4" customFormat="false" ht="35.05" hidden="false" customHeight="false" outlineLevel="0" collapsed="false">
      <c r="A4" s="5" t="s">
        <v>61</v>
      </c>
      <c r="B4" s="5" t="s">
        <v>49</v>
      </c>
      <c r="C4" s="5" t="s">
        <v>62</v>
      </c>
      <c r="D4" s="6" t="n">
        <v>46296</v>
      </c>
      <c r="E4" s="6" t="n">
        <v>46300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55</v>
      </c>
      <c r="K4" s="7" t="s">
        <v>21</v>
      </c>
      <c r="L4" s="7"/>
      <c r="M4" s="7"/>
    </row>
    <row r="5" customFormat="false" ht="35.05" hidden="false" customHeight="false" outlineLevel="0" collapsed="false">
      <c r="A5" s="5" t="s">
        <v>67</v>
      </c>
      <c r="B5" s="5" t="s">
        <v>49</v>
      </c>
      <c r="C5" s="5" t="s">
        <v>68</v>
      </c>
      <c r="D5" s="6" t="n">
        <v>46297</v>
      </c>
      <c r="E5" s="6" t="n">
        <v>46297</v>
      </c>
      <c r="F5" s="5" t="s">
        <v>51</v>
      </c>
      <c r="G5" s="5" t="s">
        <v>69</v>
      </c>
      <c r="H5" s="5" t="s">
        <v>70</v>
      </c>
      <c r="I5" s="5" t="s">
        <v>71</v>
      </c>
      <c r="J5" s="5" t="s">
        <v>55</v>
      </c>
      <c r="K5" s="7" t="s">
        <v>21</v>
      </c>
      <c r="L5" s="7"/>
      <c r="M5" s="7"/>
    </row>
    <row r="6" customFormat="false" ht="23.85" hidden="false" customHeight="false" outlineLevel="0" collapsed="false">
      <c r="A6" s="5" t="s">
        <v>72</v>
      </c>
      <c r="B6" s="5" t="s">
        <v>49</v>
      </c>
      <c r="C6" s="5" t="s">
        <v>73</v>
      </c>
      <c r="D6" s="6" t="n">
        <v>46298</v>
      </c>
      <c r="E6" s="6" t="n">
        <v>46298</v>
      </c>
      <c r="F6" s="5" t="s">
        <v>51</v>
      </c>
      <c r="G6" s="5" t="s">
        <v>74</v>
      </c>
      <c r="H6" s="5" t="s">
        <v>75</v>
      </c>
      <c r="I6" s="5" t="s">
        <v>76</v>
      </c>
      <c r="J6" s="5" t="s">
        <v>55</v>
      </c>
      <c r="K6" s="7" t="s">
        <v>21</v>
      </c>
      <c r="L6" s="7"/>
      <c r="M6" s="7"/>
    </row>
    <row r="7" customFormat="false" ht="23.85" hidden="false" customHeight="false" outlineLevel="0" collapsed="false">
      <c r="A7" s="5" t="s">
        <v>77</v>
      </c>
      <c r="B7" s="5" t="s">
        <v>49</v>
      </c>
      <c r="C7" s="5" t="s">
        <v>78</v>
      </c>
      <c r="D7" s="6" t="n">
        <v>46299</v>
      </c>
      <c r="E7" s="6" t="n">
        <v>46299</v>
      </c>
      <c r="F7" s="5" t="s">
        <v>51</v>
      </c>
      <c r="G7" s="5" t="s">
        <v>79</v>
      </c>
      <c r="H7" s="5" t="s">
        <v>80</v>
      </c>
      <c r="I7" s="5" t="s">
        <v>81</v>
      </c>
      <c r="J7" s="5" t="s">
        <v>55</v>
      </c>
      <c r="K7" s="7" t="s">
        <v>21</v>
      </c>
      <c r="L7" s="7"/>
      <c r="M7" s="7"/>
    </row>
    <row r="8" customFormat="false" ht="35.05" hidden="false" customHeight="false" outlineLevel="0" collapsed="false">
      <c r="A8" s="5" t="s">
        <v>82</v>
      </c>
      <c r="B8" s="5" t="s">
        <v>49</v>
      </c>
      <c r="C8" s="5" t="s">
        <v>83</v>
      </c>
      <c r="D8" s="6" t="n">
        <v>46300</v>
      </c>
      <c r="E8" s="6" t="n">
        <v>46300</v>
      </c>
      <c r="F8" s="5" t="s">
        <v>57</v>
      </c>
      <c r="G8" s="5" t="s">
        <v>84</v>
      </c>
      <c r="H8" s="5" t="s">
        <v>85</v>
      </c>
      <c r="I8" s="5" t="s">
        <v>86</v>
      </c>
      <c r="J8" s="5" t="s">
        <v>55</v>
      </c>
      <c r="K8" s="7" t="s">
        <v>21</v>
      </c>
      <c r="L8" s="7"/>
      <c r="M8" s="7"/>
    </row>
    <row r="9" customFormat="false" ht="46.25" hidden="false" customHeight="false" outlineLevel="0" collapsed="false">
      <c r="A9" s="5" t="s">
        <v>87</v>
      </c>
      <c r="B9" s="5" t="s">
        <v>49</v>
      </c>
      <c r="C9" s="5" t="s">
        <v>88</v>
      </c>
      <c r="D9" s="6" t="n">
        <v>46301</v>
      </c>
      <c r="E9" s="6" t="n">
        <v>46301</v>
      </c>
      <c r="F9" s="5" t="s">
        <v>89</v>
      </c>
      <c r="G9" s="5" t="s">
        <v>90</v>
      </c>
      <c r="H9" s="5" t="s">
        <v>91</v>
      </c>
      <c r="I9" s="5" t="s">
        <v>92</v>
      </c>
      <c r="J9" s="5" t="s">
        <v>93</v>
      </c>
      <c r="K9" s="7" t="s">
        <v>21</v>
      </c>
      <c r="L9" s="7"/>
      <c r="M9" s="7"/>
    </row>
    <row r="10" customFormat="false" ht="23.85" hidden="false" customHeight="false" outlineLevel="0" collapsed="false">
      <c r="A10" s="5" t="s">
        <v>94</v>
      </c>
      <c r="B10" s="5" t="s">
        <v>49</v>
      </c>
      <c r="C10" s="5" t="s">
        <v>95</v>
      </c>
      <c r="D10" s="6" t="n">
        <v>46302</v>
      </c>
      <c r="E10" s="6" t="n">
        <v>46302</v>
      </c>
      <c r="F10" s="5" t="s">
        <v>57</v>
      </c>
      <c r="G10" s="5" t="s">
        <v>96</v>
      </c>
      <c r="H10" s="5" t="s">
        <v>97</v>
      </c>
      <c r="I10" s="5" t="s">
        <v>98</v>
      </c>
      <c r="J10" s="5" t="s">
        <v>87</v>
      </c>
      <c r="K10" s="7" t="s">
        <v>21</v>
      </c>
      <c r="L10" s="7"/>
      <c r="M10" s="7"/>
    </row>
    <row r="11" customFormat="false" ht="35.05" hidden="false" customHeight="false" outlineLevel="0" collapsed="false">
      <c r="A11" s="5" t="s">
        <v>99</v>
      </c>
      <c r="B11" s="5" t="s">
        <v>100</v>
      </c>
      <c r="C11" s="5" t="s">
        <v>50</v>
      </c>
      <c r="D11" s="6" t="n">
        <v>46296</v>
      </c>
      <c r="E11" s="6" t="n">
        <v>46296</v>
      </c>
      <c r="F11" s="5" t="s">
        <v>51</v>
      </c>
      <c r="G11" s="5" t="s">
        <v>101</v>
      </c>
      <c r="H11" s="5" t="s">
        <v>102</v>
      </c>
      <c r="I11" s="5" t="s">
        <v>103</v>
      </c>
      <c r="J11" s="5" t="s">
        <v>55</v>
      </c>
      <c r="K11" s="7" t="s">
        <v>21</v>
      </c>
      <c r="L11" s="7"/>
      <c r="M11" s="7"/>
    </row>
    <row r="12" customFormat="false" ht="35.05" hidden="false" customHeight="false" outlineLevel="0" collapsed="false">
      <c r="A12" s="5" t="s">
        <v>104</v>
      </c>
      <c r="B12" s="5" t="s">
        <v>100</v>
      </c>
      <c r="C12" s="5" t="s">
        <v>68</v>
      </c>
      <c r="D12" s="6" t="n">
        <v>46297</v>
      </c>
      <c r="E12" s="6" t="n">
        <v>46297</v>
      </c>
      <c r="F12" s="5" t="s">
        <v>51</v>
      </c>
      <c r="G12" s="5" t="s">
        <v>105</v>
      </c>
      <c r="H12" s="5" t="s">
        <v>106</v>
      </c>
      <c r="I12" s="5" t="s">
        <v>107</v>
      </c>
      <c r="J12" s="5" t="s">
        <v>55</v>
      </c>
      <c r="K12" s="7" t="s">
        <v>21</v>
      </c>
      <c r="L12" s="7"/>
      <c r="M12" s="7"/>
    </row>
    <row r="13" customFormat="false" ht="23.85" hidden="false" customHeight="false" outlineLevel="0" collapsed="false">
      <c r="A13" s="5" t="s">
        <v>108</v>
      </c>
      <c r="B13" s="5" t="s">
        <v>100</v>
      </c>
      <c r="C13" s="5" t="s">
        <v>73</v>
      </c>
      <c r="D13" s="6" t="n">
        <v>46298</v>
      </c>
      <c r="E13" s="6" t="n">
        <v>46298</v>
      </c>
      <c r="F13" s="5" t="s">
        <v>51</v>
      </c>
      <c r="G13" s="5" t="s">
        <v>109</v>
      </c>
      <c r="H13" s="5" t="s">
        <v>110</v>
      </c>
      <c r="I13" s="5" t="s">
        <v>111</v>
      </c>
      <c r="J13" s="5" t="s">
        <v>55</v>
      </c>
      <c r="K13" s="7" t="s">
        <v>21</v>
      </c>
      <c r="L13" s="7"/>
      <c r="M13" s="7"/>
    </row>
    <row r="14" customFormat="false" ht="23.85" hidden="false" customHeight="false" outlineLevel="0" collapsed="false">
      <c r="A14" s="5" t="s">
        <v>112</v>
      </c>
      <c r="B14" s="5" t="s">
        <v>100</v>
      </c>
      <c r="C14" s="5" t="s">
        <v>78</v>
      </c>
      <c r="D14" s="6" t="n">
        <v>46299</v>
      </c>
      <c r="E14" s="6" t="n">
        <v>46299</v>
      </c>
      <c r="F14" s="5" t="s">
        <v>51</v>
      </c>
      <c r="G14" s="5" t="s">
        <v>113</v>
      </c>
      <c r="H14" s="5" t="s">
        <v>114</v>
      </c>
      <c r="I14" s="5" t="s">
        <v>115</v>
      </c>
      <c r="J14" s="5" t="s">
        <v>55</v>
      </c>
      <c r="K14" s="7" t="s">
        <v>21</v>
      </c>
      <c r="L14" s="7"/>
      <c r="M14" s="7"/>
    </row>
    <row r="15" customFormat="false" ht="23.85" hidden="false" customHeight="false" outlineLevel="0" collapsed="false">
      <c r="A15" s="5" t="s">
        <v>116</v>
      </c>
      <c r="B15" s="5" t="s">
        <v>100</v>
      </c>
      <c r="C15" s="5" t="s">
        <v>83</v>
      </c>
      <c r="D15" s="6" t="n">
        <v>46300</v>
      </c>
      <c r="E15" s="6" t="n">
        <v>46300</v>
      </c>
      <c r="F15" s="5" t="s">
        <v>57</v>
      </c>
      <c r="G15" s="5" t="s">
        <v>117</v>
      </c>
      <c r="H15" s="5" t="s">
        <v>118</v>
      </c>
      <c r="I15" s="5" t="s">
        <v>119</v>
      </c>
      <c r="J15" s="5" t="s">
        <v>55</v>
      </c>
      <c r="K15" s="7" t="s">
        <v>21</v>
      </c>
      <c r="L15" s="7"/>
      <c r="M15" s="7"/>
    </row>
    <row r="16" customFormat="false" ht="23.85" hidden="false" customHeight="false" outlineLevel="0" collapsed="false">
      <c r="A16" s="5" t="s">
        <v>120</v>
      </c>
      <c r="B16" s="5" t="s">
        <v>100</v>
      </c>
      <c r="C16" s="5" t="s">
        <v>88</v>
      </c>
      <c r="D16" s="6" t="n">
        <v>46301</v>
      </c>
      <c r="E16" s="6" t="n">
        <v>46301</v>
      </c>
      <c r="F16" s="5" t="s">
        <v>121</v>
      </c>
      <c r="G16" s="5" t="s">
        <v>122</v>
      </c>
      <c r="H16" s="5" t="s">
        <v>123</v>
      </c>
      <c r="I16" s="5" t="s">
        <v>124</v>
      </c>
      <c r="J16" s="5" t="s">
        <v>125</v>
      </c>
      <c r="K16" s="7" t="s">
        <v>21</v>
      </c>
      <c r="L16" s="7"/>
      <c r="M16" s="7"/>
    </row>
    <row r="17" customFormat="false" ht="15" hidden="false" customHeight="false" outlineLevel="0" collapsed="false">
      <c r="A17" s="5" t="s">
        <v>126</v>
      </c>
      <c r="B17" s="5" t="s">
        <v>100</v>
      </c>
      <c r="C17" s="5" t="s">
        <v>95</v>
      </c>
      <c r="D17" s="6" t="n">
        <v>46302</v>
      </c>
      <c r="E17" s="6" t="n">
        <v>46302</v>
      </c>
      <c r="F17" s="5" t="s">
        <v>57</v>
      </c>
      <c r="G17" s="5" t="s">
        <v>127</v>
      </c>
      <c r="H17" s="5" t="s">
        <v>128</v>
      </c>
      <c r="I17" s="5" t="s">
        <v>129</v>
      </c>
      <c r="J17" s="5" t="s">
        <v>94</v>
      </c>
      <c r="K17" s="7" t="s">
        <v>21</v>
      </c>
      <c r="L17" s="7"/>
      <c r="M17" s="7"/>
    </row>
    <row r="18" customFormat="false" ht="35.05" hidden="false" customHeight="false" outlineLevel="0" collapsed="false">
      <c r="A18" s="5" t="s">
        <v>130</v>
      </c>
      <c r="B18" s="5" t="s">
        <v>131</v>
      </c>
      <c r="C18" s="5" t="s">
        <v>50</v>
      </c>
      <c r="D18" s="6" t="n">
        <v>46296</v>
      </c>
      <c r="E18" s="6" t="n">
        <v>46296</v>
      </c>
      <c r="F18" s="5" t="s">
        <v>51</v>
      </c>
      <c r="G18" s="5" t="s">
        <v>132</v>
      </c>
      <c r="H18" s="5" t="s">
        <v>133</v>
      </c>
      <c r="I18" s="5" t="s">
        <v>134</v>
      </c>
      <c r="J18" s="5" t="s">
        <v>55</v>
      </c>
      <c r="K18" s="7" t="s">
        <v>21</v>
      </c>
      <c r="L18" s="7"/>
      <c r="M18" s="7"/>
    </row>
    <row r="19" customFormat="false" ht="23.85" hidden="false" customHeight="false" outlineLevel="0" collapsed="false">
      <c r="A19" s="5" t="s">
        <v>135</v>
      </c>
      <c r="B19" s="5" t="s">
        <v>131</v>
      </c>
      <c r="C19" s="5" t="s">
        <v>68</v>
      </c>
      <c r="D19" s="6" t="n">
        <v>46297</v>
      </c>
      <c r="E19" s="6" t="n">
        <v>46297</v>
      </c>
      <c r="F19" s="5" t="s">
        <v>51</v>
      </c>
      <c r="G19" s="5" t="s">
        <v>136</v>
      </c>
      <c r="H19" s="5" t="s">
        <v>137</v>
      </c>
      <c r="I19" s="5" t="s">
        <v>138</v>
      </c>
      <c r="J19" s="5" t="s">
        <v>55</v>
      </c>
      <c r="K19" s="7" t="s">
        <v>21</v>
      </c>
      <c r="L19" s="7"/>
      <c r="M19" s="7"/>
    </row>
    <row r="20" customFormat="false" ht="35.05" hidden="false" customHeight="false" outlineLevel="0" collapsed="false">
      <c r="A20" s="5" t="s">
        <v>139</v>
      </c>
      <c r="B20" s="5" t="s">
        <v>131</v>
      </c>
      <c r="C20" s="5" t="s">
        <v>73</v>
      </c>
      <c r="D20" s="6" t="n">
        <v>46298</v>
      </c>
      <c r="E20" s="6" t="n">
        <v>46298</v>
      </c>
      <c r="F20" s="5" t="s">
        <v>51</v>
      </c>
      <c r="G20" s="5" t="s">
        <v>140</v>
      </c>
      <c r="H20" s="5" t="s">
        <v>141</v>
      </c>
      <c r="I20" s="5" t="s">
        <v>142</v>
      </c>
      <c r="J20" s="5" t="s">
        <v>55</v>
      </c>
      <c r="K20" s="7" t="s">
        <v>21</v>
      </c>
      <c r="L20" s="7"/>
      <c r="M20" s="7"/>
    </row>
    <row r="21" customFormat="false" ht="15.75" hidden="false" customHeight="true" outlineLevel="0" collapsed="false">
      <c r="A21" s="5" t="s">
        <v>143</v>
      </c>
      <c r="B21" s="5" t="s">
        <v>131</v>
      </c>
      <c r="C21" s="5" t="s">
        <v>78</v>
      </c>
      <c r="D21" s="6" t="n">
        <v>46299</v>
      </c>
      <c r="E21" s="6" t="n">
        <v>46299</v>
      </c>
      <c r="F21" s="5" t="s">
        <v>51</v>
      </c>
      <c r="G21" s="5" t="s">
        <v>144</v>
      </c>
      <c r="H21" s="5" t="s">
        <v>145</v>
      </c>
      <c r="I21" s="5" t="s">
        <v>146</v>
      </c>
      <c r="J21" s="5" t="s">
        <v>55</v>
      </c>
      <c r="K21" s="7" t="s">
        <v>21</v>
      </c>
      <c r="L21" s="7"/>
      <c r="M21" s="7"/>
    </row>
    <row r="22" customFormat="false" ht="15.75" hidden="false" customHeight="true" outlineLevel="0" collapsed="false">
      <c r="A22" s="5" t="s">
        <v>147</v>
      </c>
      <c r="B22" s="5" t="s">
        <v>131</v>
      </c>
      <c r="C22" s="5" t="s">
        <v>83</v>
      </c>
      <c r="D22" s="6" t="n">
        <v>46300</v>
      </c>
      <c r="E22" s="6" t="n">
        <v>46300</v>
      </c>
      <c r="F22" s="5" t="s">
        <v>57</v>
      </c>
      <c r="G22" s="5" t="s">
        <v>148</v>
      </c>
      <c r="H22" s="5" t="s">
        <v>149</v>
      </c>
      <c r="I22" s="5" t="s">
        <v>150</v>
      </c>
      <c r="J22" s="5" t="s">
        <v>55</v>
      </c>
      <c r="K22" s="7" t="s">
        <v>21</v>
      </c>
      <c r="L22" s="7"/>
      <c r="M22" s="7"/>
    </row>
    <row r="23" customFormat="false" ht="15.75" hidden="false" customHeight="true" outlineLevel="0" collapsed="false">
      <c r="A23" s="5" t="s">
        <v>151</v>
      </c>
      <c r="B23" s="5" t="s">
        <v>131</v>
      </c>
      <c r="C23" s="5" t="s">
        <v>88</v>
      </c>
      <c r="D23" s="6" t="n">
        <v>46301</v>
      </c>
      <c r="E23" s="6" t="n">
        <v>46301</v>
      </c>
      <c r="F23" s="5" t="s">
        <v>121</v>
      </c>
      <c r="G23" s="5" t="s">
        <v>122</v>
      </c>
      <c r="H23" s="5" t="s">
        <v>123</v>
      </c>
      <c r="I23" s="5" t="s">
        <v>152</v>
      </c>
      <c r="J23" s="5" t="s">
        <v>125</v>
      </c>
      <c r="K23" s="7" t="s">
        <v>21</v>
      </c>
      <c r="L23" s="7"/>
      <c r="M23" s="7"/>
    </row>
    <row r="24" customFormat="false" ht="15.75" hidden="false" customHeight="true" outlineLevel="0" collapsed="false">
      <c r="A24" s="5" t="s">
        <v>153</v>
      </c>
      <c r="B24" s="5" t="s">
        <v>131</v>
      </c>
      <c r="C24" s="5" t="s">
        <v>95</v>
      </c>
      <c r="D24" s="6" t="n">
        <v>46302</v>
      </c>
      <c r="E24" s="6" t="n">
        <v>46302</v>
      </c>
      <c r="F24" s="5" t="s">
        <v>57</v>
      </c>
      <c r="G24" s="5" t="s">
        <v>127</v>
      </c>
      <c r="H24" s="5" t="s">
        <v>128</v>
      </c>
      <c r="I24" s="5" t="s">
        <v>129</v>
      </c>
      <c r="J24" s="5" t="s">
        <v>94</v>
      </c>
      <c r="K24" s="7" t="s">
        <v>21</v>
      </c>
      <c r="L24" s="7"/>
      <c r="M24" s="7"/>
    </row>
    <row r="25" customFormat="false" ht="15.75" hidden="false" customHeight="true" outlineLevel="0" collapsed="false">
      <c r="A25" s="5" t="s">
        <v>154</v>
      </c>
      <c r="B25" s="5" t="s">
        <v>155</v>
      </c>
      <c r="C25" s="5" t="s">
        <v>50</v>
      </c>
      <c r="D25" s="6" t="n">
        <v>46296</v>
      </c>
      <c r="E25" s="6" t="n">
        <v>46296</v>
      </c>
      <c r="F25" s="5" t="s">
        <v>51</v>
      </c>
      <c r="G25" s="5" t="s">
        <v>156</v>
      </c>
      <c r="H25" s="5" t="s">
        <v>157</v>
      </c>
      <c r="I25" s="5" t="s">
        <v>158</v>
      </c>
      <c r="J25" s="5" t="s">
        <v>55</v>
      </c>
      <c r="K25" s="7" t="s">
        <v>21</v>
      </c>
      <c r="L25" s="7"/>
      <c r="M25" s="7"/>
    </row>
    <row r="26" customFormat="false" ht="15.75" hidden="false" customHeight="true" outlineLevel="0" collapsed="false">
      <c r="A26" s="5" t="s">
        <v>159</v>
      </c>
      <c r="B26" s="5" t="s">
        <v>155</v>
      </c>
      <c r="C26" s="5" t="s">
        <v>68</v>
      </c>
      <c r="D26" s="6" t="n">
        <v>46297</v>
      </c>
      <c r="E26" s="6" t="n">
        <v>46297</v>
      </c>
      <c r="F26" s="5" t="s">
        <v>51</v>
      </c>
      <c r="G26" s="5" t="s">
        <v>160</v>
      </c>
      <c r="H26" s="5" t="s">
        <v>161</v>
      </c>
      <c r="I26" s="5" t="s">
        <v>162</v>
      </c>
      <c r="J26" s="5" t="s">
        <v>55</v>
      </c>
      <c r="K26" s="7" t="s">
        <v>21</v>
      </c>
      <c r="L26" s="7"/>
      <c r="M26" s="7"/>
    </row>
    <row r="27" customFormat="false" ht="15.75" hidden="false" customHeight="true" outlineLevel="0" collapsed="false">
      <c r="A27" s="5" t="s">
        <v>163</v>
      </c>
      <c r="B27" s="5" t="s">
        <v>155</v>
      </c>
      <c r="C27" s="5" t="s">
        <v>73</v>
      </c>
      <c r="D27" s="6" t="n">
        <v>46298</v>
      </c>
      <c r="E27" s="6" t="n">
        <v>46298</v>
      </c>
      <c r="F27" s="5" t="s">
        <v>51</v>
      </c>
      <c r="G27" s="5" t="s">
        <v>164</v>
      </c>
      <c r="H27" s="5" t="s">
        <v>165</v>
      </c>
      <c r="I27" s="5" t="s">
        <v>166</v>
      </c>
      <c r="J27" s="5" t="s">
        <v>55</v>
      </c>
      <c r="K27" s="7" t="s">
        <v>21</v>
      </c>
      <c r="L27" s="7"/>
      <c r="M27" s="7"/>
    </row>
    <row r="28" customFormat="false" ht="15.75" hidden="false" customHeight="true" outlineLevel="0" collapsed="false">
      <c r="A28" s="5" t="s">
        <v>167</v>
      </c>
      <c r="B28" s="5" t="s">
        <v>155</v>
      </c>
      <c r="C28" s="5" t="s">
        <v>78</v>
      </c>
      <c r="D28" s="6" t="n">
        <v>46299</v>
      </c>
      <c r="E28" s="6" t="n">
        <v>46299</v>
      </c>
      <c r="F28" s="5" t="s">
        <v>51</v>
      </c>
      <c r="G28" s="5" t="s">
        <v>168</v>
      </c>
      <c r="H28" s="5" t="s">
        <v>169</v>
      </c>
      <c r="I28" s="5" t="s">
        <v>170</v>
      </c>
      <c r="J28" s="5" t="s">
        <v>55</v>
      </c>
      <c r="K28" s="7" t="s">
        <v>21</v>
      </c>
      <c r="L28" s="7"/>
      <c r="M28" s="7"/>
    </row>
    <row r="29" customFormat="false" ht="15.75" hidden="false" customHeight="true" outlineLevel="0" collapsed="false">
      <c r="A29" s="5" t="s">
        <v>171</v>
      </c>
      <c r="B29" s="5" t="s">
        <v>155</v>
      </c>
      <c r="C29" s="5" t="s">
        <v>83</v>
      </c>
      <c r="D29" s="6" t="n">
        <v>46300</v>
      </c>
      <c r="E29" s="6" t="n">
        <v>46300</v>
      </c>
      <c r="F29" s="5" t="s">
        <v>172</v>
      </c>
      <c r="G29" s="5" t="s">
        <v>173</v>
      </c>
      <c r="H29" s="5" t="s">
        <v>174</v>
      </c>
      <c r="I29" s="5" t="s">
        <v>175</v>
      </c>
      <c r="J29" s="5" t="s">
        <v>55</v>
      </c>
      <c r="K29" s="7" t="s">
        <v>21</v>
      </c>
      <c r="L29" s="7"/>
      <c r="M29" s="7"/>
    </row>
    <row r="30" customFormat="false" ht="15.75" hidden="false" customHeight="true" outlineLevel="0" collapsed="false">
      <c r="A30" s="5" t="s">
        <v>176</v>
      </c>
      <c r="B30" s="5" t="s">
        <v>155</v>
      </c>
      <c r="C30" s="5" t="s">
        <v>88</v>
      </c>
      <c r="D30" s="6" t="n">
        <v>46301</v>
      </c>
      <c r="E30" s="6" t="n">
        <v>46301</v>
      </c>
      <c r="F30" s="5" t="s">
        <v>121</v>
      </c>
      <c r="G30" s="5" t="s">
        <v>122</v>
      </c>
      <c r="H30" s="5" t="s">
        <v>177</v>
      </c>
      <c r="I30" s="5" t="s">
        <v>178</v>
      </c>
      <c r="J30" s="5" t="s">
        <v>125</v>
      </c>
      <c r="K30" s="7" t="s">
        <v>21</v>
      </c>
      <c r="L30" s="7"/>
      <c r="M30" s="7"/>
    </row>
    <row r="31" customFormat="false" ht="15.75" hidden="false" customHeight="true" outlineLevel="0" collapsed="false">
      <c r="A31" s="5" t="s">
        <v>179</v>
      </c>
      <c r="B31" s="5" t="s">
        <v>155</v>
      </c>
      <c r="C31" s="5" t="s">
        <v>95</v>
      </c>
      <c r="D31" s="6" t="n">
        <v>46302</v>
      </c>
      <c r="E31" s="6" t="n">
        <v>46302</v>
      </c>
      <c r="F31" s="5" t="s">
        <v>57</v>
      </c>
      <c r="G31" s="5" t="s">
        <v>180</v>
      </c>
      <c r="H31" s="5" t="s">
        <v>181</v>
      </c>
      <c r="I31" s="5" t="s">
        <v>182</v>
      </c>
      <c r="J31" s="5" t="s">
        <v>94</v>
      </c>
      <c r="K31" s="7" t="s">
        <v>21</v>
      </c>
      <c r="L31" s="7"/>
      <c r="M31" s="7"/>
    </row>
    <row r="32" customFormat="false" ht="15.75" hidden="false" customHeight="true" outlineLevel="0" collapsed="false">
      <c r="A32" s="5" t="s">
        <v>183</v>
      </c>
      <c r="B32" s="5" t="s">
        <v>184</v>
      </c>
      <c r="C32" s="5" t="s">
        <v>50</v>
      </c>
      <c r="D32" s="6" t="n">
        <v>46296</v>
      </c>
      <c r="E32" s="6" t="n">
        <v>46296</v>
      </c>
      <c r="F32" s="5" t="s">
        <v>51</v>
      </c>
      <c r="G32" s="5" t="s">
        <v>185</v>
      </c>
      <c r="H32" s="5" t="s">
        <v>186</v>
      </c>
      <c r="I32" s="5" t="s">
        <v>187</v>
      </c>
      <c r="J32" s="5" t="s">
        <v>55</v>
      </c>
      <c r="K32" s="7" t="s">
        <v>21</v>
      </c>
      <c r="L32" s="7"/>
      <c r="M32" s="7"/>
    </row>
    <row r="33" customFormat="false" ht="15.75" hidden="false" customHeight="true" outlineLevel="0" collapsed="false">
      <c r="A33" s="5" t="s">
        <v>188</v>
      </c>
      <c r="B33" s="5" t="s">
        <v>184</v>
      </c>
      <c r="C33" s="5" t="s">
        <v>68</v>
      </c>
      <c r="D33" s="6" t="n">
        <v>46297</v>
      </c>
      <c r="E33" s="6" t="n">
        <v>46297</v>
      </c>
      <c r="F33" s="5" t="s">
        <v>51</v>
      </c>
      <c r="G33" s="5" t="s">
        <v>189</v>
      </c>
      <c r="H33" s="5" t="s">
        <v>190</v>
      </c>
      <c r="I33" s="5" t="s">
        <v>191</v>
      </c>
      <c r="J33" s="5" t="s">
        <v>55</v>
      </c>
      <c r="K33" s="7" t="s">
        <v>21</v>
      </c>
      <c r="L33" s="7"/>
      <c r="M33" s="7"/>
    </row>
    <row r="34" customFormat="false" ht="15.75" hidden="false" customHeight="true" outlineLevel="0" collapsed="false">
      <c r="A34" s="5" t="s">
        <v>192</v>
      </c>
      <c r="B34" s="5" t="s">
        <v>184</v>
      </c>
      <c r="C34" s="5" t="s">
        <v>73</v>
      </c>
      <c r="D34" s="6" t="n">
        <v>46298</v>
      </c>
      <c r="E34" s="6" t="n">
        <v>46298</v>
      </c>
      <c r="F34" s="5" t="s">
        <v>51</v>
      </c>
      <c r="G34" s="5" t="s">
        <v>193</v>
      </c>
      <c r="H34" s="5" t="s">
        <v>194</v>
      </c>
      <c r="I34" s="5" t="s">
        <v>195</v>
      </c>
      <c r="J34" s="5" t="s">
        <v>55</v>
      </c>
      <c r="K34" s="7" t="s">
        <v>21</v>
      </c>
      <c r="L34" s="7"/>
      <c r="M34" s="7"/>
    </row>
    <row r="35" customFormat="false" ht="15.75" hidden="false" customHeight="true" outlineLevel="0" collapsed="false">
      <c r="A35" s="5" t="s">
        <v>196</v>
      </c>
      <c r="B35" s="5" t="s">
        <v>184</v>
      </c>
      <c r="C35" s="5" t="s">
        <v>78</v>
      </c>
      <c r="D35" s="6" t="n">
        <v>46299</v>
      </c>
      <c r="E35" s="6" t="n">
        <v>46299</v>
      </c>
      <c r="F35" s="5" t="s">
        <v>51</v>
      </c>
      <c r="G35" s="5" t="s">
        <v>197</v>
      </c>
      <c r="H35" s="5" t="s">
        <v>198</v>
      </c>
      <c r="I35" s="5" t="s">
        <v>199</v>
      </c>
      <c r="J35" s="5" t="s">
        <v>55</v>
      </c>
      <c r="K35" s="7" t="s">
        <v>21</v>
      </c>
      <c r="L35" s="7"/>
      <c r="M35" s="7"/>
    </row>
    <row r="36" customFormat="false" ht="15.75" hidden="false" customHeight="true" outlineLevel="0" collapsed="false">
      <c r="A36" s="5" t="s">
        <v>200</v>
      </c>
      <c r="B36" s="5" t="s">
        <v>184</v>
      </c>
      <c r="C36" s="5" t="s">
        <v>83</v>
      </c>
      <c r="D36" s="6" t="n">
        <v>46300</v>
      </c>
      <c r="E36" s="6" t="n">
        <v>46300</v>
      </c>
      <c r="F36" s="5" t="s">
        <v>57</v>
      </c>
      <c r="G36" s="5" t="s">
        <v>201</v>
      </c>
      <c r="H36" s="5" t="s">
        <v>202</v>
      </c>
      <c r="I36" s="5" t="s">
        <v>203</v>
      </c>
      <c r="J36" s="5" t="s">
        <v>55</v>
      </c>
      <c r="K36" s="7" t="s">
        <v>21</v>
      </c>
      <c r="L36" s="7"/>
      <c r="M36" s="7"/>
    </row>
    <row r="37" customFormat="false" ht="15.75" hidden="false" customHeight="true" outlineLevel="0" collapsed="false">
      <c r="A37" s="5" t="s">
        <v>204</v>
      </c>
      <c r="B37" s="5" t="s">
        <v>184</v>
      </c>
      <c r="C37" s="5" t="s">
        <v>88</v>
      </c>
      <c r="D37" s="6" t="n">
        <v>46301</v>
      </c>
      <c r="E37" s="6" t="n">
        <v>46301</v>
      </c>
      <c r="F37" s="5" t="s">
        <v>205</v>
      </c>
      <c r="G37" s="5" t="s">
        <v>206</v>
      </c>
      <c r="H37" s="5" t="s">
        <v>207</v>
      </c>
      <c r="I37" s="5" t="s">
        <v>208</v>
      </c>
      <c r="J37" s="5" t="s">
        <v>209</v>
      </c>
      <c r="K37" s="7" t="s">
        <v>21</v>
      </c>
      <c r="L37" s="7"/>
      <c r="M37" s="7"/>
    </row>
    <row r="38" customFormat="false" ht="15.75" hidden="false" customHeight="true" outlineLevel="0" collapsed="false">
      <c r="A38" s="5" t="s">
        <v>210</v>
      </c>
      <c r="B38" s="5" t="s">
        <v>184</v>
      </c>
      <c r="C38" s="5" t="s">
        <v>95</v>
      </c>
      <c r="D38" s="6" t="n">
        <v>46302</v>
      </c>
      <c r="E38" s="6" t="n">
        <v>46302</v>
      </c>
      <c r="F38" s="5" t="s">
        <v>57</v>
      </c>
      <c r="G38" s="5" t="s">
        <v>127</v>
      </c>
      <c r="H38" s="5" t="s">
        <v>211</v>
      </c>
      <c r="I38" s="5" t="s">
        <v>129</v>
      </c>
      <c r="J38" s="5" t="s">
        <v>94</v>
      </c>
      <c r="K38" s="7" t="s">
        <v>21</v>
      </c>
      <c r="L38" s="7"/>
      <c r="M38" s="7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38"/>
  <conditionalFormatting sqref="K2:K38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"Bị chặn/Trễ"</formula>
    </cfRule>
  </conditionalFormatting>
  <dataValidations count="1">
    <dataValidation allowBlank="true" errorStyle="stop" operator="between" showDropDown="false" showErrorMessage="false" showInputMessage="false" sqref="K2:K38" type="list">
      <formula1>"Chưa làm,Đang làm,Hoàn thành,Bị chặn/Trễ"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7" min="3" style="0" width="38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</row>
    <row r="2" customFormat="false" ht="23.85" hidden="false" customHeight="false" outlineLevel="0" collapsed="false">
      <c r="A2" s="5" t="s">
        <v>50</v>
      </c>
      <c r="B2" s="5" t="s">
        <v>219</v>
      </c>
      <c r="C2" s="5" t="s">
        <v>220</v>
      </c>
      <c r="D2" s="5" t="s">
        <v>221</v>
      </c>
      <c r="E2" s="5" t="s">
        <v>222</v>
      </c>
      <c r="F2" s="5" t="s">
        <v>223</v>
      </c>
      <c r="G2" s="5" t="s">
        <v>224</v>
      </c>
    </row>
    <row r="3" customFormat="false" ht="23.85" hidden="false" customHeight="false" outlineLevel="0" collapsed="false">
      <c r="A3" s="5" t="s">
        <v>68</v>
      </c>
      <c r="B3" s="5" t="s">
        <v>225</v>
      </c>
      <c r="C3" s="5" t="s">
        <v>226</v>
      </c>
      <c r="D3" s="5" t="s">
        <v>227</v>
      </c>
      <c r="E3" s="5" t="s">
        <v>228</v>
      </c>
      <c r="F3" s="5" t="s">
        <v>229</v>
      </c>
      <c r="G3" s="5" t="s">
        <v>230</v>
      </c>
    </row>
    <row r="4" customFormat="false" ht="23.85" hidden="false" customHeight="false" outlineLevel="0" collapsed="false">
      <c r="A4" s="5" t="s">
        <v>73</v>
      </c>
      <c r="B4" s="5" t="s">
        <v>231</v>
      </c>
      <c r="C4" s="5" t="s">
        <v>232</v>
      </c>
      <c r="D4" s="5" t="s">
        <v>233</v>
      </c>
      <c r="E4" s="5" t="s">
        <v>234</v>
      </c>
      <c r="F4" s="5" t="s">
        <v>235</v>
      </c>
      <c r="G4" s="5" t="s">
        <v>236</v>
      </c>
    </row>
    <row r="5" customFormat="false" ht="23.85" hidden="false" customHeight="false" outlineLevel="0" collapsed="false">
      <c r="A5" s="5" t="s">
        <v>78</v>
      </c>
      <c r="B5" s="5" t="s">
        <v>237</v>
      </c>
      <c r="C5" s="5" t="s">
        <v>238</v>
      </c>
      <c r="D5" s="5" t="s">
        <v>239</v>
      </c>
      <c r="E5" s="5" t="s">
        <v>240</v>
      </c>
      <c r="F5" s="5" t="s">
        <v>241</v>
      </c>
      <c r="G5" s="5" t="s">
        <v>242</v>
      </c>
    </row>
    <row r="6" customFormat="false" ht="23.85" hidden="false" customHeight="false" outlineLevel="0" collapsed="false">
      <c r="A6" s="5" t="s">
        <v>83</v>
      </c>
      <c r="B6" s="5" t="s">
        <v>243</v>
      </c>
      <c r="C6" s="5" t="s">
        <v>244</v>
      </c>
      <c r="D6" s="5" t="s">
        <v>245</v>
      </c>
      <c r="E6" s="5" t="s">
        <v>246</v>
      </c>
      <c r="F6" s="5" t="s">
        <v>247</v>
      </c>
      <c r="G6" s="5" t="s">
        <v>248</v>
      </c>
    </row>
    <row r="7" customFormat="false" ht="35.05" hidden="false" customHeight="false" outlineLevel="0" collapsed="false">
      <c r="A7" s="5" t="s">
        <v>88</v>
      </c>
      <c r="B7" s="5" t="s">
        <v>249</v>
      </c>
      <c r="C7" s="5" t="s">
        <v>250</v>
      </c>
      <c r="D7" s="5" t="s">
        <v>251</v>
      </c>
      <c r="E7" s="5" t="s">
        <v>251</v>
      </c>
      <c r="F7" s="5" t="s">
        <v>251</v>
      </c>
      <c r="G7" s="5" t="s">
        <v>252</v>
      </c>
    </row>
    <row r="8" customFormat="false" ht="23.85" hidden="false" customHeight="false" outlineLevel="0" collapsed="false">
      <c r="A8" s="5" t="s">
        <v>95</v>
      </c>
      <c r="B8" s="5" t="s">
        <v>253</v>
      </c>
      <c r="C8" s="5" t="s">
        <v>254</v>
      </c>
      <c r="D8" s="5" t="s">
        <v>255</v>
      </c>
      <c r="E8" s="5" t="s">
        <v>255</v>
      </c>
      <c r="F8" s="5" t="s">
        <v>256</v>
      </c>
      <c r="G8" s="5" t="s">
        <v>255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4" t="s">
        <v>257</v>
      </c>
      <c r="B1" s="4" t="s">
        <v>258</v>
      </c>
      <c r="C1" s="4" t="s">
        <v>259</v>
      </c>
      <c r="D1" s="4" t="s">
        <v>260</v>
      </c>
      <c r="E1" s="4" t="s">
        <v>45</v>
      </c>
      <c r="F1" s="4" t="s">
        <v>47</v>
      </c>
    </row>
    <row r="2" customFormat="false" ht="15" hidden="false" customHeight="false" outlineLevel="0" collapsed="false">
      <c r="A2" s="5" t="s">
        <v>261</v>
      </c>
      <c r="B2" s="5" t="s">
        <v>49</v>
      </c>
      <c r="C2" s="5" t="s">
        <v>184</v>
      </c>
      <c r="D2" s="5" t="s">
        <v>262</v>
      </c>
      <c r="E2" s="7" t="s">
        <v>21</v>
      </c>
      <c r="F2" s="7"/>
    </row>
    <row r="3" customFormat="false" ht="15" hidden="false" customHeight="false" outlineLevel="0" collapsed="false">
      <c r="A3" s="5" t="s">
        <v>263</v>
      </c>
      <c r="B3" s="5" t="s">
        <v>49</v>
      </c>
      <c r="C3" s="5" t="s">
        <v>184</v>
      </c>
      <c r="D3" s="5" t="s">
        <v>262</v>
      </c>
      <c r="E3" s="7" t="s">
        <v>21</v>
      </c>
      <c r="F3" s="7"/>
    </row>
    <row r="4" customFormat="false" ht="15" hidden="false" customHeight="false" outlineLevel="0" collapsed="false">
      <c r="A4" s="5" t="s">
        <v>264</v>
      </c>
      <c r="B4" s="5" t="s">
        <v>49</v>
      </c>
      <c r="C4" s="5" t="s">
        <v>184</v>
      </c>
      <c r="D4" s="5" t="s">
        <v>262</v>
      </c>
      <c r="E4" s="7" t="s">
        <v>21</v>
      </c>
      <c r="F4" s="7"/>
    </row>
    <row r="5" customFormat="false" ht="15" hidden="false" customHeight="false" outlineLevel="0" collapsed="false">
      <c r="A5" s="5" t="s">
        <v>60</v>
      </c>
      <c r="B5" s="5" t="s">
        <v>49</v>
      </c>
      <c r="C5" s="5" t="s">
        <v>184</v>
      </c>
      <c r="D5" s="5" t="s">
        <v>265</v>
      </c>
      <c r="E5" s="7" t="s">
        <v>21</v>
      </c>
      <c r="F5" s="7"/>
    </row>
    <row r="6" customFormat="false" ht="15" hidden="false" customHeight="false" outlineLevel="0" collapsed="false">
      <c r="A6" s="5" t="s">
        <v>266</v>
      </c>
      <c r="B6" s="5" t="s">
        <v>184</v>
      </c>
      <c r="C6" s="5" t="s">
        <v>49</v>
      </c>
      <c r="D6" s="5" t="s">
        <v>262</v>
      </c>
      <c r="E6" s="7" t="s">
        <v>21</v>
      </c>
      <c r="F6" s="7"/>
    </row>
    <row r="7" customFormat="false" ht="23.85" hidden="false" customHeight="false" outlineLevel="0" collapsed="false">
      <c r="A7" s="5" t="s">
        <v>267</v>
      </c>
      <c r="B7" s="5" t="s">
        <v>184</v>
      </c>
      <c r="C7" s="5" t="s">
        <v>49</v>
      </c>
      <c r="D7" s="5" t="s">
        <v>268</v>
      </c>
      <c r="E7" s="7" t="s">
        <v>21</v>
      </c>
      <c r="F7" s="7"/>
    </row>
    <row r="8" customFormat="false" ht="15" hidden="false" customHeight="false" outlineLevel="0" collapsed="false">
      <c r="A8" s="5" t="s">
        <v>269</v>
      </c>
      <c r="B8" s="5" t="s">
        <v>184</v>
      </c>
      <c r="C8" s="5" t="s">
        <v>49</v>
      </c>
      <c r="D8" s="5" t="s">
        <v>270</v>
      </c>
      <c r="E8" s="7" t="s">
        <v>21</v>
      </c>
      <c r="F8" s="7"/>
    </row>
    <row r="9" customFormat="false" ht="15" hidden="false" customHeight="false" outlineLevel="0" collapsed="false">
      <c r="A9" s="5" t="s">
        <v>86</v>
      </c>
      <c r="B9" s="5" t="s">
        <v>49</v>
      </c>
      <c r="C9" s="5" t="s">
        <v>184</v>
      </c>
      <c r="D9" s="5" t="s">
        <v>271</v>
      </c>
      <c r="E9" s="7" t="s">
        <v>21</v>
      </c>
      <c r="F9" s="7"/>
    </row>
    <row r="10" customFormat="false" ht="15" hidden="false" customHeight="false" outlineLevel="0" collapsed="false">
      <c r="A10" s="5" t="s">
        <v>272</v>
      </c>
      <c r="B10" s="5" t="s">
        <v>184</v>
      </c>
      <c r="C10" s="5" t="s">
        <v>49</v>
      </c>
      <c r="D10" s="5" t="s">
        <v>273</v>
      </c>
      <c r="E10" s="7" t="s">
        <v>21</v>
      </c>
      <c r="F10" s="7"/>
    </row>
    <row r="11" customFormat="false" ht="15" hidden="false" customHeight="false" outlineLevel="0" collapsed="false">
      <c r="A11" s="5" t="s">
        <v>274</v>
      </c>
      <c r="B11" s="5" t="s">
        <v>131</v>
      </c>
      <c r="C11" s="5" t="s">
        <v>49</v>
      </c>
      <c r="D11" s="5" t="s">
        <v>275</v>
      </c>
      <c r="E11" s="7" t="s">
        <v>21</v>
      </c>
      <c r="F11" s="7"/>
    </row>
    <row r="12" customFormat="false" ht="15" hidden="false" customHeight="false" outlineLevel="0" collapsed="false">
      <c r="A12" s="5" t="s">
        <v>276</v>
      </c>
      <c r="B12" s="5" t="s">
        <v>184</v>
      </c>
      <c r="C12" s="5" t="s">
        <v>49</v>
      </c>
      <c r="D12" s="5" t="s">
        <v>277</v>
      </c>
      <c r="E12" s="7" t="s">
        <v>21</v>
      </c>
      <c r="F12" s="7"/>
    </row>
    <row r="13" customFormat="false" ht="15" hidden="false" customHeight="false" outlineLevel="0" collapsed="false">
      <c r="A13" s="5" t="s">
        <v>278</v>
      </c>
      <c r="B13" s="5" t="s">
        <v>184</v>
      </c>
      <c r="C13" s="5" t="s">
        <v>49</v>
      </c>
      <c r="D13" s="5" t="s">
        <v>279</v>
      </c>
      <c r="E13" s="7" t="s">
        <v>21</v>
      </c>
      <c r="F13" s="7"/>
    </row>
    <row r="14" customFormat="false" ht="15" hidden="false" customHeight="false" outlineLevel="0" collapsed="false">
      <c r="A14" s="5" t="s">
        <v>280</v>
      </c>
      <c r="B14" s="5" t="s">
        <v>49</v>
      </c>
      <c r="C14" s="5" t="s">
        <v>184</v>
      </c>
      <c r="D14" s="5" t="s">
        <v>279</v>
      </c>
      <c r="E14" s="7" t="s">
        <v>21</v>
      </c>
      <c r="F14" s="7"/>
    </row>
    <row r="15" customFormat="false" ht="15" hidden="false" customHeight="false" outlineLevel="0" collapsed="false">
      <c r="A15" s="5" t="s">
        <v>281</v>
      </c>
      <c r="B15" s="5" t="s">
        <v>100</v>
      </c>
      <c r="C15" s="5" t="s">
        <v>49</v>
      </c>
      <c r="D15" s="5" t="s">
        <v>275</v>
      </c>
      <c r="E15" s="7" t="s">
        <v>21</v>
      </c>
      <c r="F15" s="7"/>
    </row>
    <row r="16" customFormat="false" ht="15" hidden="false" customHeight="false" outlineLevel="0" collapsed="false">
      <c r="A16" s="5" t="s">
        <v>282</v>
      </c>
      <c r="B16" s="5" t="s">
        <v>100</v>
      </c>
      <c r="C16" s="5" t="s">
        <v>49</v>
      </c>
      <c r="D16" s="5" t="s">
        <v>275</v>
      </c>
      <c r="E16" s="7" t="s">
        <v>21</v>
      </c>
      <c r="F16" s="7"/>
    </row>
    <row r="17" customFormat="false" ht="15" hidden="false" customHeight="false" outlineLevel="0" collapsed="false">
      <c r="A17" s="5" t="s">
        <v>283</v>
      </c>
      <c r="B17" s="5" t="s">
        <v>155</v>
      </c>
      <c r="C17" s="5" t="s">
        <v>49</v>
      </c>
      <c r="D17" s="5" t="s">
        <v>279</v>
      </c>
      <c r="E17" s="7" t="s">
        <v>21</v>
      </c>
      <c r="F17" s="7"/>
    </row>
    <row r="18" customFormat="false" ht="15" hidden="false" customHeight="false" outlineLevel="0" collapsed="false">
      <c r="A18" s="5" t="s">
        <v>284</v>
      </c>
      <c r="B18" s="5" t="s">
        <v>155</v>
      </c>
      <c r="C18" s="5" t="s">
        <v>49</v>
      </c>
      <c r="D18" s="5" t="s">
        <v>285</v>
      </c>
      <c r="E18" s="7" t="s">
        <v>21</v>
      </c>
      <c r="F18" s="7"/>
    </row>
    <row r="19" customFormat="false" ht="15" hidden="false" customHeight="false" outlineLevel="0" collapsed="false">
      <c r="A19" s="5" t="s">
        <v>286</v>
      </c>
      <c r="B19" s="5" t="s">
        <v>155</v>
      </c>
      <c r="C19" s="5" t="s">
        <v>49</v>
      </c>
      <c r="D19" s="5" t="s">
        <v>275</v>
      </c>
      <c r="E19" s="7" t="s">
        <v>21</v>
      </c>
      <c r="F19" s="7"/>
    </row>
    <row r="20" customFormat="false" ht="15" hidden="false" customHeight="false" outlineLevel="0" collapsed="false">
      <c r="A20" s="5" t="s">
        <v>287</v>
      </c>
      <c r="B20" s="5" t="s">
        <v>184</v>
      </c>
      <c r="C20" s="5" t="s">
        <v>49</v>
      </c>
      <c r="D20" s="5" t="s">
        <v>288</v>
      </c>
      <c r="E20" s="7" t="s">
        <v>21</v>
      </c>
      <c r="F20" s="7"/>
    </row>
    <row r="21" customFormat="false" ht="15.75" hidden="false" customHeight="true" outlineLevel="0" collapsed="false">
      <c r="A21" s="5" t="s">
        <v>289</v>
      </c>
      <c r="B21" s="5" t="s">
        <v>49</v>
      </c>
      <c r="C21" s="5" t="s">
        <v>55</v>
      </c>
      <c r="D21" s="5" t="s">
        <v>290</v>
      </c>
      <c r="E21" s="7" t="s">
        <v>21</v>
      </c>
      <c r="F21" s="7"/>
    </row>
    <row r="22" customFormat="false" ht="15.75" hidden="false" customHeight="true" outlineLevel="0" collapsed="false">
      <c r="A22" s="5" t="s">
        <v>291</v>
      </c>
      <c r="B22" s="5" t="s">
        <v>49</v>
      </c>
      <c r="C22" s="5" t="s">
        <v>55</v>
      </c>
      <c r="D22" s="5" t="s">
        <v>277</v>
      </c>
      <c r="E22" s="7" t="s">
        <v>21</v>
      </c>
      <c r="F22" s="7"/>
    </row>
    <row r="23" customFormat="false" ht="15.75" hidden="false" customHeight="true" outlineLevel="0" collapsed="false">
      <c r="A23" s="5" t="s">
        <v>292</v>
      </c>
      <c r="B23" s="5" t="s">
        <v>49</v>
      </c>
      <c r="C23" s="5" t="s">
        <v>293</v>
      </c>
      <c r="D23" s="5" t="s">
        <v>294</v>
      </c>
      <c r="E23" s="7" t="s">
        <v>21</v>
      </c>
      <c r="F23" s="7"/>
    </row>
    <row r="24" customFormat="false" ht="15.75" hidden="false" customHeight="true" outlineLevel="0" collapsed="false">
      <c r="A24" s="5" t="s">
        <v>295</v>
      </c>
      <c r="B24" s="5" t="s">
        <v>49</v>
      </c>
      <c r="C24" s="5" t="s">
        <v>293</v>
      </c>
      <c r="D24" s="5" t="s">
        <v>294</v>
      </c>
      <c r="E24" s="7" t="s">
        <v>21</v>
      </c>
      <c r="F24" s="7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E2:E24" type="list">
      <formula1>"Chưa làm,Đang làm,Hoàn thành,Bị chặn/Trễ"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5"/>
    <col collapsed="false" customWidth="true" hidden="false" outlineLevel="0" max="5" min="4" style="0" width="3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4" t="s">
        <v>212</v>
      </c>
      <c r="B1" s="4" t="s">
        <v>36</v>
      </c>
      <c r="C1" s="4" t="s">
        <v>296</v>
      </c>
      <c r="D1" s="4" t="s">
        <v>297</v>
      </c>
      <c r="E1" s="4" t="s">
        <v>298</v>
      </c>
      <c r="F1" s="4" t="s">
        <v>299</v>
      </c>
      <c r="G1" s="4" t="s">
        <v>300</v>
      </c>
    </row>
    <row r="2" customFormat="false" ht="23.85" hidden="false" customHeight="false" outlineLevel="0" collapsed="false">
      <c r="A2" s="5" t="s">
        <v>301</v>
      </c>
      <c r="B2" s="5" t="s">
        <v>131</v>
      </c>
      <c r="C2" s="5" t="s">
        <v>302</v>
      </c>
      <c r="D2" s="5" t="s">
        <v>303</v>
      </c>
      <c r="E2" s="5" t="s">
        <v>304</v>
      </c>
      <c r="F2" s="5" t="s">
        <v>305</v>
      </c>
      <c r="G2" s="5" t="s">
        <v>23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G2:G42" type="list">
      <formula1>"Chưa làm,Đang làm,Hoàn thành,Bị chặn/Trễ"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4" t="s">
        <v>36</v>
      </c>
      <c r="B1" s="4" t="s">
        <v>306</v>
      </c>
      <c r="C1" s="4" t="s">
        <v>21</v>
      </c>
      <c r="D1" s="4" t="s">
        <v>23</v>
      </c>
      <c r="E1" s="4" t="s">
        <v>25</v>
      </c>
      <c r="F1" s="4" t="s">
        <v>27</v>
      </c>
      <c r="G1" s="4" t="s">
        <v>307</v>
      </c>
    </row>
    <row r="2" customFormat="false" ht="15" hidden="false" customHeight="false" outlineLevel="0" collapsed="false">
      <c r="A2" s="5" t="s">
        <v>49</v>
      </c>
      <c r="B2" s="5" t="n">
        <f aca="false">COUNTIF(Task_Tracker!$B$2:$B$38,A2)</f>
        <v>9</v>
      </c>
      <c r="C2" s="5" t="n">
        <f aca="false">COUNTIFS(Task_Tracker!$B$2:$B$38,$A2,Task_Tracker!$K$2:$K$38,"Chưa làm")</f>
        <v>8</v>
      </c>
      <c r="D2" s="5" t="n">
        <f aca="false">COUNTIFS(Task_Tracker!$B$2:$B$38,$A2,Task_Tracker!$K$2:$K$38,"Đang làm")</f>
        <v>1</v>
      </c>
      <c r="E2" s="5" t="n">
        <f aca="false">COUNTIFS(Task_Tracker!$B$2:$B$38,$A2,Task_Tracker!$K$2:$K$38,"Hoàn thành")</f>
        <v>0</v>
      </c>
      <c r="F2" s="5" t="n">
        <f aca="false">COUNTIFS(Task_Tracker!$B$2:$B$38,$A2,Task_Tracker!$K$2:$K$38,"Bị chặn/Trễ")</f>
        <v>0</v>
      </c>
      <c r="G2" s="8" t="n">
        <f aca="false">IF(B2=0,0,E2/B2)</f>
        <v>0</v>
      </c>
    </row>
    <row r="3" customFormat="false" ht="15" hidden="false" customHeight="false" outlineLevel="0" collapsed="false">
      <c r="A3" s="5" t="s">
        <v>100</v>
      </c>
      <c r="B3" s="5" t="n">
        <f aca="false">COUNTIF(Task_Tracker!$B$2:$B$38,A3)</f>
        <v>7</v>
      </c>
      <c r="C3" s="5" t="n">
        <f aca="false">COUNTIFS(Task_Tracker!$B$2:$B$38,$A3,Task_Tracker!$K$2:$K$38,"Chưa làm")</f>
        <v>7</v>
      </c>
      <c r="D3" s="5" t="n">
        <f aca="false">COUNTIFS(Task_Tracker!$B$2:$B$38,$A3,Task_Tracker!$K$2:$K$38,"Đang làm")</f>
        <v>0</v>
      </c>
      <c r="E3" s="5" t="n">
        <f aca="false">COUNTIFS(Task_Tracker!$B$2:$B$38,$A3,Task_Tracker!$K$2:$K$38,"Hoàn thành")</f>
        <v>0</v>
      </c>
      <c r="F3" s="5" t="n">
        <f aca="false">COUNTIFS(Task_Tracker!$B$2:$B$38,$A3,Task_Tracker!$K$2:$K$38,"Bị chặn/Trễ")</f>
        <v>0</v>
      </c>
      <c r="G3" s="8" t="n">
        <f aca="false">IF(B3=0,0,E3/B3)</f>
        <v>0</v>
      </c>
    </row>
    <row r="4" customFormat="false" ht="15" hidden="false" customHeight="false" outlineLevel="0" collapsed="false">
      <c r="A4" s="5" t="s">
        <v>155</v>
      </c>
      <c r="B4" s="5" t="n">
        <f aca="false">COUNTIF(Task_Tracker!$B$2:$B$38,A4)</f>
        <v>7</v>
      </c>
      <c r="C4" s="5" t="n">
        <f aca="false">COUNTIFS(Task_Tracker!$B$2:$B$38,$A4,Task_Tracker!$K$2:$K$38,"Chưa làm")</f>
        <v>7</v>
      </c>
      <c r="D4" s="5" t="n">
        <f aca="false">COUNTIFS(Task_Tracker!$B$2:$B$38,$A4,Task_Tracker!$K$2:$K$38,"Đang làm")</f>
        <v>0</v>
      </c>
      <c r="E4" s="5" t="n">
        <f aca="false">COUNTIFS(Task_Tracker!$B$2:$B$38,$A4,Task_Tracker!$K$2:$K$38,"Hoàn thành")</f>
        <v>0</v>
      </c>
      <c r="F4" s="5" t="n">
        <f aca="false">COUNTIFS(Task_Tracker!$B$2:$B$38,$A4,Task_Tracker!$K$2:$K$38,"Bị chặn/Trễ")</f>
        <v>0</v>
      </c>
      <c r="G4" s="8" t="n">
        <f aca="false">IF(B4=0,0,E4/B4)</f>
        <v>0</v>
      </c>
    </row>
    <row r="5" customFormat="false" ht="15" hidden="false" customHeight="false" outlineLevel="0" collapsed="false">
      <c r="A5" s="5" t="s">
        <v>184</v>
      </c>
      <c r="B5" s="5" t="n">
        <f aca="false">COUNTIF(Task_Tracker!$B$2:$B$38,A5)</f>
        <v>7</v>
      </c>
      <c r="C5" s="5" t="n">
        <f aca="false">COUNTIFS(Task_Tracker!$B$2:$B$38,$A5,Task_Tracker!$K$2:$K$38,"Chưa làm")</f>
        <v>7</v>
      </c>
      <c r="D5" s="5" t="n">
        <f aca="false">COUNTIFS(Task_Tracker!$B$2:$B$38,$A5,Task_Tracker!$K$2:$K$38,"Đang làm")</f>
        <v>0</v>
      </c>
      <c r="E5" s="5" t="n">
        <f aca="false">COUNTIFS(Task_Tracker!$B$2:$B$38,$A5,Task_Tracker!$K$2:$K$38,"Hoàn thành")</f>
        <v>0</v>
      </c>
      <c r="F5" s="5" t="n">
        <f aca="false">COUNTIFS(Task_Tracker!$B$2:$B$38,$A5,Task_Tracker!$K$2:$K$38,"Bị chặn/Trễ")</f>
        <v>0</v>
      </c>
      <c r="G5" s="8" t="n">
        <f aca="false">IF(B5=0,0,E5/B5)</f>
        <v>0</v>
      </c>
    </row>
    <row r="6" customFormat="false" ht="15" hidden="false" customHeight="false" outlineLevel="0" collapsed="false">
      <c r="A6" s="5" t="s">
        <v>131</v>
      </c>
      <c r="B6" s="5" t="n">
        <f aca="false">COUNTIF(Task_Tracker!$B$2:$B$38,A6)</f>
        <v>7</v>
      </c>
      <c r="C6" s="5" t="n">
        <f aca="false">COUNTIFS(Task_Tracker!$B$2:$B$38,$A6,Task_Tracker!$K$2:$K$38,"Chưa làm")</f>
        <v>7</v>
      </c>
      <c r="D6" s="5" t="n">
        <f aca="false">COUNTIFS(Task_Tracker!$B$2:$B$38,$A6,Task_Tracker!$K$2:$K$38,"Đang làm")</f>
        <v>0</v>
      </c>
      <c r="E6" s="5" t="n">
        <f aca="false">COUNTIFS(Task_Tracker!$B$2:$B$38,$A6,Task_Tracker!$K$2:$K$38,"Hoàn thành")</f>
        <v>0</v>
      </c>
      <c r="F6" s="5" t="n">
        <f aca="false">COUNTIFS(Task_Tracker!$B$2:$B$38,$A6,Task_Tracker!$K$2:$K$38,"Bị chặn/Trễ")</f>
        <v>0</v>
      </c>
      <c r="G6" s="8" t="n">
        <f aca="false">IF(B6=0,0,E6/B6)</f>
        <v>0</v>
      </c>
    </row>
    <row r="7" customFormat="false" ht="15" hidden="false" customHeight="false" outlineLevel="0" collapsed="false">
      <c r="A7" s="9" t="s">
        <v>308</v>
      </c>
      <c r="B7" s="9" t="n">
        <f aca="false">SUM(B2:B6)</f>
        <v>37</v>
      </c>
      <c r="C7" s="9" t="n">
        <f aca="false">SUM(C2:C6)</f>
        <v>36</v>
      </c>
      <c r="D7" s="9" t="n">
        <f aca="false">SUM(D2:D6)</f>
        <v>1</v>
      </c>
      <c r="E7" s="9" t="n">
        <f aca="false">SUM(E2:E6)</f>
        <v>0</v>
      </c>
      <c r="F7" s="9" t="n">
        <f aca="false">SUM(F2:F6)</f>
        <v>0</v>
      </c>
      <c r="G7" s="10" t="n">
        <f aca="false">IF(B7=0,0,E7/B7)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2026-10-01T04:09:41Z</dcterms:created>
  <dc:creator>openpyxl</dc:creator>
  <dc:description/>
  <dc:language>en-US</dc:language>
  <cp:lastModifiedBy/>
  <dcterms:modified xsi:type="dcterms:W3CDTF">2026-10-01T04:09:41Z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